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2a0e843a7308eb/Music/Documentos/"/>
    </mc:Choice>
  </mc:AlternateContent>
  <xr:revisionPtr revIDLastSave="1" documentId="8_{819C6132-71FD-4F5A-B38E-3A71DCA4D5A3}" xr6:coauthVersionLast="47" xr6:coauthVersionMax="47" xr10:uidLastSave="{0BCA6FBC-0719-42C0-AAAA-748C7BE6175B}"/>
  <bookViews>
    <workbookView xWindow="-120" yWindow="-120" windowWidth="29040" windowHeight="15720" tabRatio="500" xr2:uid="{7A1DED5E-0594-4813-9954-E0DE5A422FCA}"/>
  </bookViews>
  <sheets>
    <sheet name="Datos operacion" sheetId="24" r:id="rId1"/>
    <sheet name="Planilla 1 mes" sheetId="20" r:id="rId2"/>
    <sheet name="LITROS VENDIDOS periodo" sheetId="2" r:id="rId3"/>
    <sheet name="Litros por ruta" sheetId="2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2" l="1"/>
  <c r="F20" i="2"/>
  <c r="E20" i="2"/>
  <c r="D20" i="2"/>
  <c r="C20" i="2"/>
  <c r="H3" i="20"/>
  <c r="I3" i="20" s="1"/>
  <c r="H4" i="20"/>
  <c r="I4" i="20" s="1"/>
  <c r="H5" i="20"/>
  <c r="I5" i="20" s="1"/>
  <c r="H6" i="20"/>
  <c r="I6" i="20" s="1"/>
  <c r="H7" i="20"/>
  <c r="I7" i="20" s="1"/>
  <c r="H8" i="20"/>
  <c r="I8" i="20" s="1"/>
  <c r="H9" i="20"/>
  <c r="I9" i="20" s="1"/>
  <c r="H10" i="20"/>
  <c r="I10" i="20" s="1"/>
  <c r="H11" i="20"/>
  <c r="I11" i="20" s="1"/>
  <c r="H12" i="20"/>
  <c r="I12" i="20" s="1"/>
  <c r="H13" i="20"/>
  <c r="I13" i="20" s="1"/>
  <c r="H14" i="20"/>
  <c r="I14" i="20" s="1"/>
  <c r="H15" i="20"/>
  <c r="I15" i="20" s="1"/>
  <c r="H16" i="20"/>
  <c r="I16" i="20" s="1"/>
  <c r="H17" i="20"/>
  <c r="I17" i="20" s="1"/>
  <c r="H18" i="20"/>
  <c r="I18" i="20" s="1"/>
  <c r="H19" i="20"/>
  <c r="I19" i="20" s="1"/>
  <c r="H20" i="20"/>
  <c r="I20" i="20" s="1"/>
  <c r="H21" i="20"/>
  <c r="I21" i="20" s="1"/>
  <c r="H22" i="20"/>
  <c r="I22" i="20" s="1"/>
  <c r="H23" i="20"/>
  <c r="I23" i="20" s="1"/>
  <c r="H24" i="20"/>
  <c r="I24" i="20" s="1"/>
  <c r="H25" i="20"/>
  <c r="I25" i="20" s="1"/>
  <c r="H26" i="20"/>
  <c r="I26" i="20" s="1"/>
  <c r="H27" i="20"/>
  <c r="I27" i="20" s="1"/>
  <c r="H28" i="20"/>
  <c r="I28" i="20" s="1"/>
  <c r="H29" i="20"/>
  <c r="I29" i="20" s="1"/>
  <c r="H30" i="20"/>
  <c r="I30" i="20" s="1"/>
  <c r="H31" i="20"/>
  <c r="I31" i="20" s="1"/>
  <c r="H32" i="20"/>
  <c r="I32" i="20" s="1"/>
  <c r="H33" i="20"/>
  <c r="I33" i="20" s="1"/>
  <c r="H34" i="20"/>
  <c r="I34" i="20" s="1"/>
  <c r="H35" i="20"/>
  <c r="I35" i="20" s="1"/>
  <c r="H36" i="20"/>
  <c r="I36" i="20" s="1"/>
  <c r="H37" i="20"/>
  <c r="I37" i="20" s="1"/>
  <c r="H38" i="20"/>
  <c r="I38" i="20" s="1"/>
  <c r="H39" i="20"/>
  <c r="I39" i="20" s="1"/>
  <c r="H40" i="20"/>
  <c r="I40" i="20" s="1"/>
  <c r="H41" i="20"/>
  <c r="I41" i="20" s="1"/>
  <c r="H42" i="20"/>
  <c r="I42" i="20" s="1"/>
  <c r="H43" i="20"/>
  <c r="I43" i="20" s="1"/>
  <c r="H44" i="20"/>
  <c r="I44" i="20" s="1"/>
  <c r="H45" i="20"/>
  <c r="I45" i="20" s="1"/>
  <c r="H46" i="20"/>
  <c r="I46" i="20" s="1"/>
  <c r="H47" i="20"/>
  <c r="I47" i="20" s="1"/>
  <c r="H48" i="20"/>
  <c r="I48" i="20" s="1"/>
  <c r="H49" i="20"/>
  <c r="I49" i="20" s="1"/>
  <c r="H50" i="20"/>
  <c r="I50" i="20" s="1"/>
  <c r="H51" i="20"/>
  <c r="I51" i="20" s="1"/>
  <c r="H52" i="20"/>
  <c r="I52" i="20" s="1"/>
  <c r="H53" i="20"/>
  <c r="I53" i="20" s="1"/>
  <c r="H54" i="20"/>
  <c r="I54" i="20" s="1"/>
  <c r="H55" i="20"/>
  <c r="I55" i="20" s="1"/>
  <c r="H56" i="20"/>
  <c r="I56" i="20" s="1"/>
  <c r="H57" i="20"/>
  <c r="I57" i="20" s="1"/>
  <c r="H58" i="20"/>
  <c r="I58" i="20" s="1"/>
  <c r="H59" i="20"/>
  <c r="I59" i="20" s="1"/>
  <c r="H60" i="20"/>
  <c r="I60" i="20" s="1"/>
  <c r="H2" i="20"/>
  <c r="I2" i="20" s="1"/>
  <c r="E70" i="23"/>
  <c r="D71" i="23"/>
  <c r="G61" i="20" l="1"/>
  <c r="H61" i="20"/>
  <c r="I61" i="20"/>
  <c r="G20" i="2" l="1"/>
  <c r="G21" i="2" l="1"/>
  <c r="H20" i="2"/>
</calcChain>
</file>

<file path=xl/sharedStrings.xml><?xml version="1.0" encoding="utf-8"?>
<sst xmlns="http://schemas.openxmlformats.org/spreadsheetml/2006/main" count="191" uniqueCount="106">
  <si>
    <t xml:space="preserve">LITROS VENDIDOS </t>
  </si>
  <si>
    <t>mes</t>
  </si>
  <si>
    <t>litros vendidos</t>
  </si>
  <si>
    <t>cantidad llantas por camion</t>
  </si>
  <si>
    <t>km entre cambio de llantas</t>
  </si>
  <si>
    <t>Tipo de lubricante</t>
  </si>
  <si>
    <t>cantidad lubricante por camion</t>
  </si>
  <si>
    <t>km entre cambio de lubricante</t>
  </si>
  <si>
    <t>periodicidad del lavado</t>
  </si>
  <si>
    <t>periodicidad del engrase</t>
  </si>
  <si>
    <t>Seguros</t>
  </si>
  <si>
    <t>costo por una llanta</t>
  </si>
  <si>
    <t>Peajes</t>
  </si>
  <si>
    <t>la ruta requiere peaje?</t>
  </si>
  <si>
    <t>cantidad peajes por ruta</t>
  </si>
  <si>
    <t>Fecha</t>
  </si>
  <si>
    <t>Cil100</t>
  </si>
  <si>
    <t>Cil20</t>
  </si>
  <si>
    <t>Cil25</t>
  </si>
  <si>
    <t>Cil10</t>
  </si>
  <si>
    <t>Total general</t>
  </si>
  <si>
    <t>Codigo Producto</t>
  </si>
  <si>
    <t>Suma de Total Litros</t>
  </si>
  <si>
    <t>Cambios al mes</t>
  </si>
  <si>
    <t>Precio lubricante x estañon</t>
  </si>
  <si>
    <t>costo cubeta</t>
  </si>
  <si>
    <t>Lavados al mes</t>
  </si>
  <si>
    <t>costo peaje x ruta</t>
  </si>
  <si>
    <t>Rutas al mes</t>
  </si>
  <si>
    <t>Valor unidad</t>
  </si>
  <si>
    <t>vida util</t>
  </si>
  <si>
    <t>CHOFER DE CAMION</t>
  </si>
  <si>
    <t>AYUDANTE DE CHOFER</t>
  </si>
  <si>
    <t>cantidad ltrs por engrase</t>
  </si>
  <si>
    <t>ruta</t>
  </si>
  <si>
    <t>planta</t>
  </si>
  <si>
    <t>diferencia</t>
  </si>
  <si>
    <t>Contabilidad</t>
  </si>
  <si>
    <t>% planta</t>
  </si>
  <si>
    <t>% ruta</t>
  </si>
  <si>
    <t>Datos</t>
  </si>
  <si>
    <t>Bodega</t>
  </si>
  <si>
    <t>Ruta 1</t>
  </si>
  <si>
    <t>Cantidad de cilindros</t>
  </si>
  <si>
    <t>fecha compra</t>
  </si>
  <si>
    <t>Nombre</t>
  </si>
  <si>
    <t>Identificación</t>
  </si>
  <si>
    <t>Fecha Ingreso</t>
  </si>
  <si>
    <t>CCSS</t>
  </si>
  <si>
    <t>Ingreso Neto</t>
  </si>
  <si>
    <t>Puesto</t>
  </si>
  <si>
    <t>VENTAS</t>
  </si>
  <si>
    <t>MENSAJERO</t>
  </si>
  <si>
    <t>AYUDANTE VENDEDOR</t>
  </si>
  <si>
    <t>PEON DE BODEGA</t>
  </si>
  <si>
    <t>DE mes inicial al mes final</t>
  </si>
  <si>
    <t>indicar</t>
  </si>
  <si>
    <t>Cilindro</t>
  </si>
  <si>
    <t>Detalle de producto entregado en rutas (base 1 dia promedio)</t>
  </si>
  <si>
    <t>Total dia</t>
  </si>
  <si>
    <t>TOMZA SA</t>
  </si>
  <si>
    <t>Rutas</t>
  </si>
  <si>
    <t>La Cruz</t>
  </si>
  <si>
    <t>Cartago</t>
  </si>
  <si>
    <t>rutas del mes</t>
  </si>
  <si>
    <t>km recorridos mes</t>
  </si>
  <si>
    <t>Combustible usado</t>
  </si>
  <si>
    <t>precio promedio x litro</t>
  </si>
  <si>
    <t>Id camion</t>
  </si>
  <si>
    <t>tipo</t>
  </si>
  <si>
    <t>periodicidad del cambio aceite</t>
  </si>
  <si>
    <t>costo lavado</t>
  </si>
  <si>
    <t>Mantenimiento y reparaciones</t>
  </si>
  <si>
    <t>Monto Marchamo 2025</t>
  </si>
  <si>
    <t>Monto Dekra 2025</t>
  </si>
  <si>
    <t>Valor en libros</t>
  </si>
  <si>
    <t>Cantidad llantas</t>
  </si>
  <si>
    <t>Definicion</t>
  </si>
  <si>
    <t>Litros vendidos</t>
  </si>
  <si>
    <t>Cantidad Clientes ruta</t>
  </si>
  <si>
    <t>Cantidad Clientes venta</t>
  </si>
  <si>
    <t>Cantidad de ventas (facturas)</t>
  </si>
  <si>
    <t>Monto facturado</t>
  </si>
  <si>
    <t>Usaremos capacidad de 25 libras</t>
  </si>
  <si>
    <t>Capacidad carga-tecnica-</t>
  </si>
  <si>
    <t>Capacidad carga-comercial-</t>
  </si>
  <si>
    <t>Comercial</t>
  </si>
  <si>
    <t>Taller</t>
  </si>
  <si>
    <t>Planillas</t>
  </si>
  <si>
    <t>Cantidad mantenimientos</t>
  </si>
  <si>
    <t>Cantidad Alineamiento</t>
  </si>
  <si>
    <t>Cantidad afinamiento</t>
  </si>
  <si>
    <t>Cantidad chequeo y cambio frenos (fibras, limpieza, ajuste)</t>
  </si>
  <si>
    <t>Costo de 1 mantenimiento</t>
  </si>
  <si>
    <t>Costo de 1 Alineamiento</t>
  </si>
  <si>
    <t>Costo de 1 afinamiento</t>
  </si>
  <si>
    <t>Costo de 1 chequeo y cambio frenos (fibras, limpieza, ajuste)</t>
  </si>
  <si>
    <t xml:space="preserve">Monto </t>
  </si>
  <si>
    <t>periodicidad</t>
  </si>
  <si>
    <t>Salario reportado</t>
  </si>
  <si>
    <t>Salario Base + comision</t>
  </si>
  <si>
    <t>Comision</t>
  </si>
  <si>
    <t>Base + comision</t>
  </si>
  <si>
    <t xml:space="preserve">Salario Base </t>
  </si>
  <si>
    <t>Dias de incapacidad</t>
  </si>
  <si>
    <t>Dias laborados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</si>
</sst>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,##0_ ;\-#,##0\ "/>
    <numFmt numFmtId="166" formatCode="&quot;₡&quot;#,##0.00"/>
    <numFmt numFmtId="167" formatCode="0.0%"/>
  </numFmts>
  <fonts count="13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8"/>
      <color theme="1"/>
      <name val="ARIAL"/>
      <family val="2"/>
    </font>
    <font>
      <b/>
      <sz val="14"/>
      <color theme="4" tint="-0.249977111117893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5A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top"/>
    </xf>
    <xf numFmtId="43" fontId="1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>
      <alignment vertical="top"/>
    </xf>
  </cellStyleXfs>
  <cellXfs count="86">
    <xf numFmtId="0" fontId="0" fillId="0" borderId="0" xfId="0">
      <alignment vertical="top"/>
    </xf>
    <xf numFmtId="0" fontId="2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3" fontId="0" fillId="0" borderId="1" xfId="0" applyNumberFormat="1" applyBorder="1" applyAlignment="1"/>
    <xf numFmtId="0" fontId="0" fillId="5" borderId="0" xfId="0" applyFill="1">
      <alignment vertical="top"/>
    </xf>
    <xf numFmtId="0" fontId="0" fillId="0" borderId="0" xfId="0" applyAlignment="1">
      <alignment horizontal="center" vertical="top"/>
    </xf>
    <xf numFmtId="0" fontId="1" fillId="0" borderId="0" xfId="0" applyFont="1">
      <alignment vertical="top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65" fontId="0" fillId="0" borderId="0" xfId="1" applyNumberFormat="1" applyFont="1" applyAlignment="1">
      <alignment horizontal="center" vertical="top"/>
    </xf>
    <xf numFmtId="43" fontId="0" fillId="0" borderId="0" xfId="1" applyFont="1">
      <alignment vertical="top"/>
    </xf>
    <xf numFmtId="43" fontId="0" fillId="0" borderId="0" xfId="0" applyNumberFormat="1">
      <alignment vertical="top"/>
    </xf>
    <xf numFmtId="43" fontId="1" fillId="0" borderId="2" xfId="1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vertical="center"/>
    </xf>
    <xf numFmtId="0" fontId="8" fillId="0" borderId="0" xfId="0" applyFont="1" applyAlignment="1"/>
    <xf numFmtId="164" fontId="8" fillId="0" borderId="0" xfId="1" applyNumberFormat="1" applyFont="1" applyAlignment="1"/>
    <xf numFmtId="164" fontId="6" fillId="6" borderId="2" xfId="1" applyNumberFormat="1" applyFont="1" applyFill="1" applyBorder="1" applyAlignment="1">
      <alignment vertical="center"/>
    </xf>
    <xf numFmtId="164" fontId="7" fillId="6" borderId="2" xfId="1" applyNumberFormat="1" applyFont="1" applyFill="1" applyBorder="1" applyAlignment="1">
      <alignment horizontal="center" vertical="center" wrapText="1"/>
    </xf>
    <xf numFmtId="0" fontId="1" fillId="8" borderId="0" xfId="0" applyFont="1" applyFill="1">
      <alignment vertical="top"/>
    </xf>
    <xf numFmtId="43" fontId="0" fillId="0" borderId="0" xfId="1" applyFont="1" applyAlignment="1">
      <alignment horizontal="center" vertical="top"/>
    </xf>
    <xf numFmtId="43" fontId="0" fillId="0" borderId="2" xfId="1" applyFont="1" applyBorder="1" applyAlignment="1">
      <alignment horizontal="center" vertical="top"/>
    </xf>
    <xf numFmtId="43" fontId="0" fillId="8" borderId="2" xfId="1" applyFont="1" applyFill="1" applyBorder="1" applyAlignment="1">
      <alignment horizontal="center" vertical="top"/>
    </xf>
    <xf numFmtId="43" fontId="4" fillId="7" borderId="2" xfId="0" applyNumberFormat="1" applyFont="1" applyFill="1" applyBorder="1">
      <alignment vertical="top"/>
    </xf>
    <xf numFmtId="0" fontId="1" fillId="5" borderId="0" xfId="0" applyFont="1" applyFill="1">
      <alignment vertical="top"/>
    </xf>
    <xf numFmtId="43" fontId="0" fillId="5" borderId="0" xfId="0" applyNumberFormat="1" applyFill="1">
      <alignment vertical="top"/>
    </xf>
    <xf numFmtId="0" fontId="8" fillId="6" borderId="2" xfId="0" applyFont="1" applyFill="1" applyBorder="1" applyAlignment="1"/>
    <xf numFmtId="166" fontId="8" fillId="6" borderId="2" xfId="0" applyNumberFormat="1" applyFont="1" applyFill="1" applyBorder="1" applyAlignment="1"/>
    <xf numFmtId="0" fontId="8" fillId="6" borderId="2" xfId="0" applyFont="1" applyFill="1" applyBorder="1" applyAlignment="1">
      <alignment horizontal="center"/>
    </xf>
    <xf numFmtId="0" fontId="8" fillId="6" borderId="0" xfId="0" applyFont="1" applyFill="1" applyAlignment="1"/>
    <xf numFmtId="166" fontId="8" fillId="6" borderId="0" xfId="0" applyNumberFormat="1" applyFont="1" applyFill="1" applyAlignment="1"/>
    <xf numFmtId="0" fontId="8" fillId="6" borderId="0" xfId="0" applyFont="1" applyFill="1" applyAlignment="1">
      <alignment horizontal="center"/>
    </xf>
    <xf numFmtId="166" fontId="8" fillId="0" borderId="0" xfId="0" applyNumberFormat="1" applyFont="1" applyAlignment="1"/>
    <xf numFmtId="0" fontId="8" fillId="0" borderId="0" xfId="0" applyFont="1" applyAlignment="1">
      <alignment horizontal="center"/>
    </xf>
    <xf numFmtId="166" fontId="10" fillId="2" borderId="0" xfId="0" applyNumberFormat="1" applyFont="1" applyFill="1" applyAlignment="1"/>
    <xf numFmtId="10" fontId="0" fillId="5" borderId="2" xfId="2" applyNumberFormat="1" applyFont="1" applyFill="1" applyBorder="1">
      <alignment vertical="top"/>
    </xf>
    <xf numFmtId="0" fontId="0" fillId="4" borderId="2" xfId="0" applyFill="1" applyBorder="1">
      <alignment vertical="top"/>
    </xf>
    <xf numFmtId="0" fontId="1" fillId="4" borderId="2" xfId="0" applyFont="1" applyFill="1" applyBorder="1">
      <alignment vertical="top"/>
    </xf>
    <xf numFmtId="43" fontId="0" fillId="4" borderId="2" xfId="1" applyFont="1" applyFill="1" applyBorder="1" applyAlignment="1">
      <alignment horizontal="center" vertical="top"/>
    </xf>
    <xf numFmtId="0" fontId="1" fillId="9" borderId="2" xfId="0" applyFont="1" applyFill="1" applyBorder="1">
      <alignment vertical="top"/>
    </xf>
    <xf numFmtId="0" fontId="0" fillId="9" borderId="2" xfId="0" applyFill="1" applyBorder="1">
      <alignment vertical="top"/>
    </xf>
    <xf numFmtId="43" fontId="0" fillId="9" borderId="2" xfId="1" applyFont="1" applyFill="1" applyBorder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8" fillId="0" borderId="2" xfId="0" applyFont="1" applyBorder="1" applyAlignment="1"/>
    <xf numFmtId="166" fontId="8" fillId="0" borderId="2" xfId="0" applyNumberFormat="1" applyFont="1" applyBorder="1" applyAlignment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11" fillId="6" borderId="2" xfId="0" applyFont="1" applyFill="1" applyBorder="1" applyAlignment="1">
      <alignment horizontal="center" vertical="center" wrapText="1"/>
    </xf>
    <xf numFmtId="164" fontId="11" fillId="3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8" borderId="2" xfId="0" applyFont="1" applyFill="1" applyBorder="1" applyAlignment="1">
      <alignment horizontal="center" vertical="center" wrapText="1"/>
    </xf>
    <xf numFmtId="167" fontId="0" fillId="0" borderId="0" xfId="2" applyNumberFormat="1" applyFont="1">
      <alignment vertical="top"/>
    </xf>
    <xf numFmtId="0" fontId="11" fillId="8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43" fontId="5" fillId="8" borderId="0" xfId="1" applyFont="1" applyFill="1" applyAlignment="1">
      <alignment horizontal="center" vertical="top"/>
    </xf>
    <xf numFmtId="0" fontId="11" fillId="12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0" fillId="13" borderId="0" xfId="0" applyFill="1">
      <alignment vertical="top"/>
    </xf>
    <xf numFmtId="0" fontId="0" fillId="11" borderId="0" xfId="0" applyFill="1">
      <alignment vertical="top"/>
    </xf>
    <xf numFmtId="0" fontId="0" fillId="14" borderId="0" xfId="0" applyFill="1">
      <alignment vertical="top"/>
    </xf>
    <xf numFmtId="0" fontId="0" fillId="15" borderId="0" xfId="0" applyFill="1">
      <alignment vertical="top"/>
    </xf>
    <xf numFmtId="0" fontId="11" fillId="16" borderId="0" xfId="0" applyFont="1" applyFill="1" applyAlignment="1">
      <alignment horizontal="center" vertical="center" wrapText="1"/>
    </xf>
    <xf numFmtId="0" fontId="0" fillId="17" borderId="0" xfId="0" applyFill="1">
      <alignment vertical="top"/>
    </xf>
    <xf numFmtId="0" fontId="11" fillId="17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164" fontId="11" fillId="13" borderId="0" xfId="1" applyNumberFormat="1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7" fillId="16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wrapText="1"/>
    </xf>
    <xf numFmtId="0" fontId="7" fillId="12" borderId="0" xfId="0" applyFont="1" applyFill="1" applyAlignment="1">
      <alignment vertical="center"/>
    </xf>
    <xf numFmtId="0" fontId="7" fillId="13" borderId="0" xfId="0" applyFont="1" applyFill="1" applyAlignment="1">
      <alignment horizontal="center" wrapText="1"/>
    </xf>
    <xf numFmtId="0" fontId="9" fillId="10" borderId="2" xfId="0" applyFont="1" applyFill="1" applyBorder="1" applyAlignment="1">
      <alignment horizontal="center" vertical="center"/>
    </xf>
    <xf numFmtId="166" fontId="9" fillId="10" borderId="2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/>
    </xf>
    <xf numFmtId="0" fontId="8" fillId="10" borderId="0" xfId="0" applyFont="1" applyFill="1" applyAlignment="1"/>
    <xf numFmtId="166" fontId="8" fillId="10" borderId="2" xfId="0" applyNumberFormat="1" applyFont="1" applyFill="1" applyBorder="1" applyAlignment="1">
      <alignment horizontal="center"/>
    </xf>
    <xf numFmtId="166" fontId="9" fillId="10" borderId="3" xfId="0" applyNumberFormat="1" applyFont="1" applyFill="1" applyBorder="1" applyAlignment="1">
      <alignment horizontal="center" vertical="center"/>
    </xf>
    <xf numFmtId="166" fontId="9" fillId="10" borderId="4" xfId="0" applyNumberFormat="1" applyFont="1" applyFill="1" applyBorder="1" applyAlignment="1">
      <alignment horizontal="center" vertical="center"/>
    </xf>
    <xf numFmtId="166" fontId="9" fillId="10" borderId="5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D5ABFF"/>
      <color rgb="FFFFD9EC"/>
      <color rgb="FFABFFEF"/>
      <color rgb="FFFF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41D2-844F-4B5D-A993-B4721D6DE651}">
  <dimension ref="A1:AY21"/>
  <sheetViews>
    <sheetView showGridLines="0" tabSelected="1" zoomScale="175" zoomScaleNormal="17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7" sqref="B7:M7"/>
    </sheetView>
  </sheetViews>
  <sheetFormatPr baseColWidth="10" defaultRowHeight="12.75" x14ac:dyDescent="0.2"/>
  <cols>
    <col min="16" max="16" width="11.140625" bestFit="1" customWidth="1"/>
    <col min="17" max="17" width="12.7109375" customWidth="1"/>
    <col min="20" max="20" width="12.5703125" customWidth="1"/>
    <col min="37" max="37" width="12.5703125" customWidth="1"/>
  </cols>
  <sheetData>
    <row r="1" spans="1:51" x14ac:dyDescent="0.2">
      <c r="A1" s="58"/>
      <c r="B1" s="6" t="s">
        <v>37</v>
      </c>
    </row>
    <row r="2" spans="1:51" x14ac:dyDescent="0.2">
      <c r="A2" s="59"/>
      <c r="B2" s="6" t="s">
        <v>86</v>
      </c>
    </row>
    <row r="3" spans="1:51" x14ac:dyDescent="0.2">
      <c r="A3" s="60"/>
      <c r="B3" s="6" t="s">
        <v>87</v>
      </c>
    </row>
    <row r="4" spans="1:51" x14ac:dyDescent="0.2">
      <c r="A4" s="61"/>
      <c r="B4" s="6" t="s">
        <v>88</v>
      </c>
    </row>
    <row r="5" spans="1:51" x14ac:dyDescent="0.2">
      <c r="A5" s="63"/>
    </row>
    <row r="6" spans="1:51" x14ac:dyDescent="0.2">
      <c r="AK6" s="81" t="s">
        <v>72</v>
      </c>
      <c r="AL6" s="81"/>
      <c r="AM6" s="81"/>
      <c r="AN6" s="81"/>
      <c r="AO6" s="81"/>
      <c r="AP6" s="81"/>
      <c r="AQ6" s="81"/>
      <c r="AR6" s="82"/>
      <c r="AS6" s="80" t="s">
        <v>12</v>
      </c>
      <c r="AT6" s="80"/>
      <c r="AU6" s="80"/>
      <c r="AX6" s="83" t="s">
        <v>10</v>
      </c>
      <c r="AY6" s="83"/>
    </row>
    <row r="7" spans="1:51" s="50" customFormat="1" ht="78.75" x14ac:dyDescent="0.2">
      <c r="A7" s="48" t="s">
        <v>61</v>
      </c>
      <c r="B7" s="48" t="s">
        <v>68</v>
      </c>
      <c r="C7" s="48" t="s">
        <v>69</v>
      </c>
      <c r="D7" s="17" t="s">
        <v>28</v>
      </c>
      <c r="E7" s="48" t="s">
        <v>76</v>
      </c>
      <c r="F7" s="48" t="s">
        <v>84</v>
      </c>
      <c r="G7" s="48" t="s">
        <v>85</v>
      </c>
      <c r="H7" s="48" t="s">
        <v>79</v>
      </c>
      <c r="I7" s="48" t="s">
        <v>81</v>
      </c>
      <c r="J7" s="48" t="s">
        <v>80</v>
      </c>
      <c r="K7" s="48" t="s">
        <v>78</v>
      </c>
      <c r="L7" s="48" t="s">
        <v>82</v>
      </c>
      <c r="M7" s="48" t="s">
        <v>29</v>
      </c>
      <c r="N7" s="48" t="s">
        <v>44</v>
      </c>
      <c r="O7" s="48" t="s">
        <v>30</v>
      </c>
      <c r="P7" s="48" t="s">
        <v>75</v>
      </c>
      <c r="Q7" s="48" t="s">
        <v>65</v>
      </c>
      <c r="R7" s="48" t="s">
        <v>64</v>
      </c>
      <c r="S7" s="51" t="s">
        <v>77</v>
      </c>
      <c r="T7" s="48" t="s">
        <v>66</v>
      </c>
      <c r="U7" s="48" t="s">
        <v>67</v>
      </c>
      <c r="V7" s="48" t="s">
        <v>3</v>
      </c>
      <c r="W7" s="48" t="s">
        <v>4</v>
      </c>
      <c r="X7" s="49" t="s">
        <v>11</v>
      </c>
      <c r="Y7" s="48" t="s">
        <v>5</v>
      </c>
      <c r="Z7" s="48" t="s">
        <v>6</v>
      </c>
      <c r="AA7" s="18" t="s">
        <v>24</v>
      </c>
      <c r="AB7" s="13" t="s">
        <v>7</v>
      </c>
      <c r="AC7" s="13" t="s">
        <v>70</v>
      </c>
      <c r="AD7" s="13" t="s">
        <v>23</v>
      </c>
      <c r="AE7" s="13" t="s">
        <v>8</v>
      </c>
      <c r="AF7" s="13" t="s">
        <v>71</v>
      </c>
      <c r="AG7" s="14" t="s">
        <v>26</v>
      </c>
      <c r="AH7" s="13" t="s">
        <v>9</v>
      </c>
      <c r="AI7" s="13" t="s">
        <v>25</v>
      </c>
      <c r="AJ7" s="13" t="s">
        <v>33</v>
      </c>
      <c r="AK7" s="13" t="s">
        <v>89</v>
      </c>
      <c r="AL7" s="13" t="s">
        <v>90</v>
      </c>
      <c r="AM7" s="13" t="s">
        <v>91</v>
      </c>
      <c r="AN7" s="13" t="s">
        <v>92</v>
      </c>
      <c r="AO7" s="13" t="s">
        <v>93</v>
      </c>
      <c r="AP7" s="13" t="s">
        <v>94</v>
      </c>
      <c r="AQ7" s="13" t="s">
        <v>95</v>
      </c>
      <c r="AR7" s="13" t="s">
        <v>96</v>
      </c>
      <c r="AS7" s="13" t="s">
        <v>13</v>
      </c>
      <c r="AT7" s="13" t="s">
        <v>14</v>
      </c>
      <c r="AU7" s="13" t="s">
        <v>27</v>
      </c>
      <c r="AV7" s="13" t="s">
        <v>73</v>
      </c>
      <c r="AW7" s="13" t="s">
        <v>74</v>
      </c>
      <c r="AX7" s="13" t="s">
        <v>97</v>
      </c>
      <c r="AY7" s="13" t="s">
        <v>98</v>
      </c>
    </row>
    <row r="8" spans="1:51" s="50" customFormat="1" x14ac:dyDescent="0.2">
      <c r="A8" s="54"/>
      <c r="B8" s="54"/>
      <c r="C8" s="54"/>
      <c r="D8" s="54"/>
      <c r="E8" s="62"/>
      <c r="F8" s="62"/>
      <c r="G8" s="54"/>
      <c r="H8" s="56"/>
      <c r="I8" s="56"/>
      <c r="J8" s="56"/>
      <c r="K8" s="57"/>
      <c r="L8" s="57"/>
      <c r="M8" s="57"/>
      <c r="N8" s="57"/>
      <c r="O8" s="57"/>
      <c r="P8" s="57"/>
      <c r="Q8" s="64"/>
      <c r="R8" s="64"/>
      <c r="S8" s="53"/>
      <c r="T8" s="64"/>
      <c r="U8" s="57"/>
      <c r="V8" s="65"/>
      <c r="W8" s="65"/>
      <c r="X8" s="66"/>
      <c r="Y8" s="65"/>
      <c r="Z8" s="65"/>
      <c r="AA8" s="66"/>
      <c r="AB8" s="65"/>
      <c r="AC8" s="65"/>
      <c r="AD8" s="65"/>
      <c r="AE8" s="65"/>
      <c r="AF8" s="67"/>
      <c r="AG8" s="65"/>
      <c r="AH8" s="65"/>
      <c r="AI8" s="67"/>
      <c r="AJ8" s="65"/>
      <c r="AK8" s="62"/>
      <c r="AL8" s="68"/>
      <c r="AM8" s="68"/>
      <c r="AN8" s="68"/>
      <c r="AO8" s="67"/>
      <c r="AP8" s="67"/>
      <c r="AQ8" s="67"/>
      <c r="AR8" s="67"/>
      <c r="AS8" s="69"/>
      <c r="AT8" s="69"/>
      <c r="AU8" s="70"/>
      <c r="AV8" s="71"/>
      <c r="AW8" s="71"/>
    </row>
    <row r="9" spans="1:51" x14ac:dyDescent="0.2">
      <c r="A9" t="s">
        <v>62</v>
      </c>
      <c r="O9">
        <v>1</v>
      </c>
    </row>
    <row r="10" spans="1:51" x14ac:dyDescent="0.2">
      <c r="A10" t="s">
        <v>63</v>
      </c>
    </row>
    <row r="13" spans="1:51" x14ac:dyDescent="0.2">
      <c r="P13" s="10"/>
      <c r="Q13" s="10"/>
      <c r="R13" s="11"/>
    </row>
    <row r="14" spans="1:51" x14ac:dyDescent="0.2">
      <c r="M14" s="52"/>
      <c r="P14" s="10"/>
      <c r="Q14" s="10"/>
      <c r="R14" s="11"/>
    </row>
    <row r="15" spans="1:51" x14ac:dyDescent="0.2">
      <c r="P15" s="10"/>
      <c r="Q15" s="10"/>
    </row>
    <row r="16" spans="1:51" x14ac:dyDescent="0.2">
      <c r="P16" s="10"/>
      <c r="Q16" s="10"/>
    </row>
    <row r="17" spans="16:17" x14ac:dyDescent="0.2">
      <c r="P17" s="10"/>
      <c r="Q17" s="10"/>
    </row>
    <row r="18" spans="16:17" x14ac:dyDescent="0.2">
      <c r="P18" s="10"/>
      <c r="Q18" s="10"/>
    </row>
    <row r="19" spans="16:17" x14ac:dyDescent="0.2">
      <c r="P19" s="10"/>
      <c r="Q19" s="10"/>
    </row>
    <row r="20" spans="16:17" x14ac:dyDescent="0.2">
      <c r="P20" s="10"/>
      <c r="Q20" s="10"/>
    </row>
    <row r="21" spans="16:17" x14ac:dyDescent="0.2">
      <c r="P21" s="10"/>
      <c r="Q21" s="10"/>
    </row>
  </sheetData>
  <mergeCells count="3">
    <mergeCell ref="AS6:AU6"/>
    <mergeCell ref="AK6:AR6"/>
    <mergeCell ref="AX6:AY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3FDD-B412-4CB8-A015-A2B644091140}">
  <dimension ref="A1:N117"/>
  <sheetViews>
    <sheetView workbookViewId="0">
      <selection activeCell="B26" sqref="B25:B26"/>
    </sheetView>
  </sheetViews>
  <sheetFormatPr baseColWidth="10" defaultColWidth="10.85546875" defaultRowHeight="15" x14ac:dyDescent="0.25"/>
  <cols>
    <col min="1" max="1" width="44.5703125" style="15" customWidth="1"/>
    <col min="2" max="2" width="29.140625" style="15" customWidth="1"/>
    <col min="3" max="6" width="18.85546875" style="32" customWidth="1"/>
    <col min="7" max="7" width="30.42578125" style="32" customWidth="1"/>
    <col min="8" max="8" width="34.42578125" style="32" customWidth="1"/>
    <col min="9" max="11" width="20.85546875" style="32" customWidth="1"/>
    <col min="12" max="12" width="29.85546875" style="33" customWidth="1"/>
    <col min="13" max="13" width="10.85546875" style="15"/>
    <col min="14" max="14" width="21.85546875" style="15" customWidth="1"/>
    <col min="15" max="16384" width="10.85546875" style="15"/>
  </cols>
  <sheetData>
    <row r="1" spans="1:14" s="75" customFormat="1" x14ac:dyDescent="0.25">
      <c r="A1" s="72" t="s">
        <v>45</v>
      </c>
      <c r="B1" s="72" t="s">
        <v>46</v>
      </c>
      <c r="C1" s="73" t="s">
        <v>47</v>
      </c>
      <c r="D1" s="77" t="s">
        <v>100</v>
      </c>
      <c r="E1" s="78"/>
      <c r="F1" s="79"/>
      <c r="G1" s="73" t="s">
        <v>99</v>
      </c>
      <c r="H1" s="73" t="s">
        <v>48</v>
      </c>
      <c r="I1" s="73" t="s">
        <v>49</v>
      </c>
      <c r="J1" s="73" t="s">
        <v>105</v>
      </c>
      <c r="K1" s="73" t="s">
        <v>104</v>
      </c>
      <c r="L1" s="74" t="s">
        <v>50</v>
      </c>
      <c r="N1" s="74" t="s">
        <v>50</v>
      </c>
    </row>
    <row r="2" spans="1:14" s="29" customFormat="1" x14ac:dyDescent="0.25">
      <c r="A2" s="26"/>
      <c r="B2" s="43"/>
      <c r="C2" s="44"/>
      <c r="D2" s="76" t="s">
        <v>103</v>
      </c>
      <c r="E2" s="76" t="s">
        <v>101</v>
      </c>
      <c r="F2" s="76" t="s">
        <v>102</v>
      </c>
      <c r="G2" s="44"/>
      <c r="H2" s="44">
        <f>+G2*0.1067</f>
        <v>0</v>
      </c>
      <c r="I2" s="44">
        <f>+G2-H2</f>
        <v>0</v>
      </c>
      <c r="J2" s="44"/>
      <c r="K2" s="44"/>
      <c r="L2" s="45"/>
      <c r="M2" s="15"/>
      <c r="N2" s="46" t="s">
        <v>51</v>
      </c>
    </row>
    <row r="3" spans="1:14" s="29" customFormat="1" x14ac:dyDescent="0.25">
      <c r="A3" s="26"/>
      <c r="B3" s="43"/>
      <c r="C3" s="44"/>
      <c r="D3" s="44"/>
      <c r="E3" s="44"/>
      <c r="F3" s="44"/>
      <c r="G3" s="44"/>
      <c r="H3" s="44">
        <f t="shared" ref="H3:H60" si="0">+G3*0.1067</f>
        <v>0</v>
      </c>
      <c r="I3" s="44">
        <f t="shared" ref="I3:I60" si="1">+G3-H3</f>
        <v>0</v>
      </c>
      <c r="J3" s="44"/>
      <c r="K3" s="44"/>
      <c r="L3" s="45"/>
      <c r="M3" s="15"/>
      <c r="N3" s="46" t="s">
        <v>31</v>
      </c>
    </row>
    <row r="4" spans="1:14" s="29" customFormat="1" x14ac:dyDescent="0.25">
      <c r="A4" s="26"/>
      <c r="B4" s="43"/>
      <c r="C4" s="44"/>
      <c r="D4" s="44"/>
      <c r="E4" s="44"/>
      <c r="F4" s="44"/>
      <c r="G4" s="44"/>
      <c r="H4" s="44">
        <f t="shared" si="0"/>
        <v>0</v>
      </c>
      <c r="I4" s="44">
        <f t="shared" si="1"/>
        <v>0</v>
      </c>
      <c r="J4" s="44"/>
      <c r="K4" s="44"/>
      <c r="L4" s="45"/>
      <c r="M4" s="15"/>
      <c r="N4" s="46" t="s">
        <v>52</v>
      </c>
    </row>
    <row r="5" spans="1:14" s="29" customFormat="1" x14ac:dyDescent="0.25">
      <c r="A5" s="26"/>
      <c r="B5" s="43"/>
      <c r="C5" s="44"/>
      <c r="D5" s="44"/>
      <c r="E5" s="44"/>
      <c r="F5" s="44"/>
      <c r="G5" s="44"/>
      <c r="H5" s="44">
        <f t="shared" si="0"/>
        <v>0</v>
      </c>
      <c r="I5" s="44">
        <f t="shared" si="1"/>
        <v>0</v>
      </c>
      <c r="J5" s="44"/>
      <c r="K5" s="44"/>
      <c r="L5" s="45"/>
      <c r="M5" s="15"/>
      <c r="N5" s="46" t="s">
        <v>32</v>
      </c>
    </row>
    <row r="6" spans="1:14" s="29" customFormat="1" x14ac:dyDescent="0.25">
      <c r="A6" s="26"/>
      <c r="B6" s="43"/>
      <c r="C6" s="44"/>
      <c r="D6" s="44"/>
      <c r="E6" s="44"/>
      <c r="F6" s="44"/>
      <c r="G6" s="44"/>
      <c r="H6" s="44">
        <f t="shared" si="0"/>
        <v>0</v>
      </c>
      <c r="I6" s="44">
        <f t="shared" si="1"/>
        <v>0</v>
      </c>
      <c r="J6" s="44"/>
      <c r="K6" s="44"/>
      <c r="L6" s="45"/>
      <c r="M6" s="15"/>
      <c r="N6" s="46" t="s">
        <v>54</v>
      </c>
    </row>
    <row r="7" spans="1:14" s="29" customFormat="1" x14ac:dyDescent="0.25">
      <c r="A7" s="26"/>
      <c r="B7" s="43"/>
      <c r="C7" s="44"/>
      <c r="D7" s="44"/>
      <c r="E7" s="44"/>
      <c r="F7" s="44"/>
      <c r="G7" s="44"/>
      <c r="H7" s="44">
        <f t="shared" si="0"/>
        <v>0</v>
      </c>
      <c r="I7" s="44">
        <f t="shared" si="1"/>
        <v>0</v>
      </c>
      <c r="J7" s="44"/>
      <c r="K7" s="44"/>
      <c r="L7" s="45"/>
      <c r="M7" s="15"/>
      <c r="N7" s="47" t="s">
        <v>53</v>
      </c>
    </row>
    <row r="8" spans="1:14" s="29" customFormat="1" x14ac:dyDescent="0.25">
      <c r="A8" s="26"/>
      <c r="B8" s="43"/>
      <c r="C8" s="44"/>
      <c r="D8" s="44"/>
      <c r="E8" s="44"/>
      <c r="F8" s="44"/>
      <c r="G8" s="44"/>
      <c r="H8" s="44">
        <f t="shared" si="0"/>
        <v>0</v>
      </c>
      <c r="I8" s="44">
        <f t="shared" si="1"/>
        <v>0</v>
      </c>
      <c r="J8" s="44"/>
      <c r="K8" s="44"/>
      <c r="L8" s="45"/>
      <c r="M8" s="15"/>
    </row>
    <row r="9" spans="1:14" s="29" customFormat="1" x14ac:dyDescent="0.25">
      <c r="A9" s="26"/>
      <c r="B9" s="43"/>
      <c r="C9" s="44"/>
      <c r="D9" s="44"/>
      <c r="E9" s="44"/>
      <c r="F9" s="44"/>
      <c r="G9" s="44"/>
      <c r="H9" s="44">
        <f t="shared" si="0"/>
        <v>0</v>
      </c>
      <c r="I9" s="44">
        <f t="shared" si="1"/>
        <v>0</v>
      </c>
      <c r="J9" s="44"/>
      <c r="K9" s="44"/>
      <c r="L9" s="26"/>
      <c r="M9" s="15"/>
    </row>
    <row r="10" spans="1:14" s="29" customFormat="1" x14ac:dyDescent="0.25">
      <c r="A10" s="26"/>
      <c r="B10" s="43"/>
      <c r="C10" s="44"/>
      <c r="D10" s="44"/>
      <c r="E10" s="44"/>
      <c r="F10" s="44"/>
      <c r="G10" s="44"/>
      <c r="H10" s="44">
        <f t="shared" si="0"/>
        <v>0</v>
      </c>
      <c r="I10" s="44">
        <f t="shared" si="1"/>
        <v>0</v>
      </c>
      <c r="J10" s="44"/>
      <c r="K10" s="44"/>
      <c r="L10" s="45"/>
      <c r="M10" s="15"/>
    </row>
    <row r="11" spans="1:14" s="29" customFormat="1" x14ac:dyDescent="0.25">
      <c r="A11" s="26"/>
      <c r="B11" s="43"/>
      <c r="C11" s="44"/>
      <c r="D11" s="44"/>
      <c r="E11" s="44"/>
      <c r="F11" s="44"/>
      <c r="G11" s="44"/>
      <c r="H11" s="44">
        <f t="shared" si="0"/>
        <v>0</v>
      </c>
      <c r="I11" s="44">
        <f t="shared" si="1"/>
        <v>0</v>
      </c>
      <c r="J11" s="44"/>
      <c r="K11" s="44"/>
      <c r="L11" s="45"/>
      <c r="M11" s="15"/>
    </row>
    <row r="12" spans="1:14" s="29" customFormat="1" x14ac:dyDescent="0.25">
      <c r="A12" s="26"/>
      <c r="B12" s="43"/>
      <c r="C12" s="44"/>
      <c r="D12" s="44"/>
      <c r="E12" s="44"/>
      <c r="F12" s="44"/>
      <c r="G12" s="44"/>
      <c r="H12" s="44">
        <f t="shared" si="0"/>
        <v>0</v>
      </c>
      <c r="I12" s="44">
        <f t="shared" si="1"/>
        <v>0</v>
      </c>
      <c r="J12" s="44"/>
      <c r="K12" s="44"/>
      <c r="L12" s="26"/>
      <c r="M12" s="15"/>
    </row>
    <row r="13" spans="1:14" s="29" customFormat="1" x14ac:dyDescent="0.25">
      <c r="A13" s="26"/>
      <c r="B13" s="43"/>
      <c r="C13" s="44"/>
      <c r="D13" s="44"/>
      <c r="E13" s="44"/>
      <c r="F13" s="44"/>
      <c r="G13" s="44"/>
      <c r="H13" s="44">
        <f t="shared" si="0"/>
        <v>0</v>
      </c>
      <c r="I13" s="44">
        <f t="shared" si="1"/>
        <v>0</v>
      </c>
      <c r="J13" s="44"/>
      <c r="K13" s="44"/>
      <c r="L13" s="45"/>
      <c r="M13" s="15"/>
    </row>
    <row r="14" spans="1:14" s="29" customFormat="1" x14ac:dyDescent="0.25">
      <c r="A14" s="26"/>
      <c r="B14" s="43"/>
      <c r="C14" s="44"/>
      <c r="D14" s="44"/>
      <c r="E14" s="44"/>
      <c r="F14" s="44"/>
      <c r="G14" s="44"/>
      <c r="H14" s="44">
        <f t="shared" si="0"/>
        <v>0</v>
      </c>
      <c r="I14" s="44">
        <f t="shared" si="1"/>
        <v>0</v>
      </c>
      <c r="J14" s="44"/>
      <c r="K14" s="44"/>
      <c r="L14" s="45"/>
      <c r="M14" s="15"/>
    </row>
    <row r="15" spans="1:14" s="29" customFormat="1" x14ac:dyDescent="0.25">
      <c r="A15" s="26"/>
      <c r="B15" s="43"/>
      <c r="C15" s="44"/>
      <c r="D15" s="44"/>
      <c r="E15" s="44"/>
      <c r="F15" s="44"/>
      <c r="G15" s="44"/>
      <c r="H15" s="44">
        <f t="shared" si="0"/>
        <v>0</v>
      </c>
      <c r="I15" s="44">
        <f t="shared" si="1"/>
        <v>0</v>
      </c>
      <c r="J15" s="44"/>
      <c r="K15" s="44"/>
      <c r="L15" s="45"/>
      <c r="M15" s="15"/>
    </row>
    <row r="16" spans="1:14" s="29" customFormat="1" x14ac:dyDescent="0.25">
      <c r="A16" s="26"/>
      <c r="B16" s="43"/>
      <c r="C16" s="44"/>
      <c r="D16" s="44"/>
      <c r="E16" s="44"/>
      <c r="F16" s="44"/>
      <c r="G16" s="44"/>
      <c r="H16" s="44">
        <f t="shared" si="0"/>
        <v>0</v>
      </c>
      <c r="I16" s="44">
        <f t="shared" si="1"/>
        <v>0</v>
      </c>
      <c r="J16" s="44"/>
      <c r="K16" s="44"/>
      <c r="L16" s="45"/>
      <c r="M16" s="15"/>
    </row>
    <row r="17" spans="1:13" s="29" customFormat="1" x14ac:dyDescent="0.25">
      <c r="A17" s="26"/>
      <c r="B17" s="43"/>
      <c r="C17" s="44"/>
      <c r="D17" s="44"/>
      <c r="E17" s="44"/>
      <c r="F17" s="44"/>
      <c r="G17" s="44"/>
      <c r="H17" s="44">
        <f t="shared" si="0"/>
        <v>0</v>
      </c>
      <c r="I17" s="44">
        <f t="shared" si="1"/>
        <v>0</v>
      </c>
      <c r="J17" s="44"/>
      <c r="K17" s="44"/>
      <c r="L17" s="45"/>
      <c r="M17" s="15"/>
    </row>
    <row r="18" spans="1:13" s="29" customFormat="1" x14ac:dyDescent="0.25">
      <c r="A18" s="26"/>
      <c r="B18" s="43"/>
      <c r="C18" s="44"/>
      <c r="D18" s="44"/>
      <c r="E18" s="44"/>
      <c r="F18" s="44"/>
      <c r="G18" s="44"/>
      <c r="H18" s="44">
        <f t="shared" si="0"/>
        <v>0</v>
      </c>
      <c r="I18" s="44">
        <f t="shared" si="1"/>
        <v>0</v>
      </c>
      <c r="J18" s="44"/>
      <c r="K18" s="44"/>
      <c r="L18" s="45"/>
      <c r="M18" s="15"/>
    </row>
    <row r="19" spans="1:13" s="29" customFormat="1" x14ac:dyDescent="0.25">
      <c r="A19" s="26"/>
      <c r="B19" s="43"/>
      <c r="C19" s="44"/>
      <c r="D19" s="44"/>
      <c r="E19" s="44"/>
      <c r="F19" s="44"/>
      <c r="G19" s="44"/>
      <c r="H19" s="44">
        <f t="shared" si="0"/>
        <v>0</v>
      </c>
      <c r="I19" s="44">
        <f t="shared" si="1"/>
        <v>0</v>
      </c>
      <c r="J19" s="44"/>
      <c r="K19" s="44"/>
      <c r="L19" s="45"/>
      <c r="M19" s="15"/>
    </row>
    <row r="20" spans="1:13" s="29" customFormat="1" x14ac:dyDescent="0.25">
      <c r="A20" s="26"/>
      <c r="B20" s="43"/>
      <c r="C20" s="44"/>
      <c r="D20" s="44"/>
      <c r="E20" s="44"/>
      <c r="F20" s="44"/>
      <c r="G20" s="44"/>
      <c r="H20" s="44">
        <f t="shared" si="0"/>
        <v>0</v>
      </c>
      <c r="I20" s="44">
        <f t="shared" si="1"/>
        <v>0</v>
      </c>
      <c r="J20" s="44"/>
      <c r="K20" s="44"/>
      <c r="L20" s="45"/>
      <c r="M20" s="15"/>
    </row>
    <row r="21" spans="1:13" s="29" customFormat="1" x14ac:dyDescent="0.25">
      <c r="A21" s="26"/>
      <c r="B21" s="43"/>
      <c r="C21" s="44"/>
      <c r="D21" s="44"/>
      <c r="E21" s="44"/>
      <c r="F21" s="44"/>
      <c r="G21" s="44"/>
      <c r="H21" s="44">
        <f t="shared" si="0"/>
        <v>0</v>
      </c>
      <c r="I21" s="44">
        <f t="shared" si="1"/>
        <v>0</v>
      </c>
      <c r="J21" s="44"/>
      <c r="K21" s="44"/>
      <c r="L21" s="45"/>
      <c r="M21" s="15"/>
    </row>
    <row r="22" spans="1:13" s="29" customFormat="1" x14ac:dyDescent="0.25">
      <c r="A22" s="26"/>
      <c r="B22" s="43"/>
      <c r="C22" s="44"/>
      <c r="D22" s="44"/>
      <c r="E22" s="44"/>
      <c r="F22" s="44"/>
      <c r="G22" s="44"/>
      <c r="H22" s="44">
        <f t="shared" si="0"/>
        <v>0</v>
      </c>
      <c r="I22" s="44">
        <f t="shared" si="1"/>
        <v>0</v>
      </c>
      <c r="J22" s="44"/>
      <c r="K22" s="44"/>
      <c r="L22" s="45"/>
      <c r="M22" s="15"/>
    </row>
    <row r="23" spans="1:13" s="29" customFormat="1" x14ac:dyDescent="0.25">
      <c r="A23" s="26"/>
      <c r="B23" s="43"/>
      <c r="C23" s="44"/>
      <c r="D23" s="44"/>
      <c r="E23" s="44"/>
      <c r="F23" s="44"/>
      <c r="G23" s="44"/>
      <c r="H23" s="44">
        <f t="shared" si="0"/>
        <v>0</v>
      </c>
      <c r="I23" s="44">
        <f t="shared" si="1"/>
        <v>0</v>
      </c>
      <c r="J23" s="44"/>
      <c r="K23" s="44"/>
      <c r="L23" s="45"/>
      <c r="M23" s="15"/>
    </row>
    <row r="24" spans="1:13" s="29" customFormat="1" x14ac:dyDescent="0.25">
      <c r="A24" s="26"/>
      <c r="B24" s="43"/>
      <c r="C24" s="44"/>
      <c r="D24" s="44"/>
      <c r="E24" s="44"/>
      <c r="F24" s="44"/>
      <c r="G24" s="44"/>
      <c r="H24" s="44">
        <f t="shared" si="0"/>
        <v>0</v>
      </c>
      <c r="I24" s="44">
        <f t="shared" si="1"/>
        <v>0</v>
      </c>
      <c r="J24" s="44"/>
      <c r="K24" s="44"/>
      <c r="L24" s="45"/>
      <c r="M24" s="15"/>
    </row>
    <row r="25" spans="1:13" s="29" customFormat="1" x14ac:dyDescent="0.25">
      <c r="A25" s="26"/>
      <c r="B25" s="43"/>
      <c r="C25" s="44"/>
      <c r="D25" s="44"/>
      <c r="E25" s="44"/>
      <c r="F25" s="44"/>
      <c r="G25" s="44"/>
      <c r="H25" s="44">
        <f t="shared" si="0"/>
        <v>0</v>
      </c>
      <c r="I25" s="44">
        <f t="shared" si="1"/>
        <v>0</v>
      </c>
      <c r="J25" s="44"/>
      <c r="K25" s="44"/>
      <c r="L25" s="45"/>
      <c r="M25" s="15"/>
    </row>
    <row r="26" spans="1:13" s="29" customFormat="1" x14ac:dyDescent="0.25">
      <c r="A26" s="26"/>
      <c r="B26" s="43"/>
      <c r="C26" s="44"/>
      <c r="D26" s="44"/>
      <c r="E26" s="44"/>
      <c r="F26" s="44"/>
      <c r="G26" s="44"/>
      <c r="H26" s="44">
        <f t="shared" si="0"/>
        <v>0</v>
      </c>
      <c r="I26" s="44">
        <f t="shared" si="1"/>
        <v>0</v>
      </c>
      <c r="J26" s="44"/>
      <c r="K26" s="44"/>
      <c r="L26" s="45"/>
      <c r="M26" s="15"/>
    </row>
    <row r="27" spans="1:13" s="29" customFormat="1" x14ac:dyDescent="0.25">
      <c r="A27" s="26"/>
      <c r="B27" s="43"/>
      <c r="C27" s="44"/>
      <c r="D27" s="44"/>
      <c r="E27" s="44"/>
      <c r="F27" s="44"/>
      <c r="G27" s="44"/>
      <c r="H27" s="44">
        <f t="shared" si="0"/>
        <v>0</v>
      </c>
      <c r="I27" s="44">
        <f t="shared" si="1"/>
        <v>0</v>
      </c>
      <c r="J27" s="44"/>
      <c r="K27" s="44"/>
      <c r="L27" s="45"/>
      <c r="M27" s="15"/>
    </row>
    <row r="28" spans="1:13" s="29" customFormat="1" x14ac:dyDescent="0.25">
      <c r="A28" s="26"/>
      <c r="B28" s="43"/>
      <c r="C28" s="44"/>
      <c r="D28" s="44"/>
      <c r="E28" s="44"/>
      <c r="F28" s="44"/>
      <c r="G28" s="44"/>
      <c r="H28" s="44">
        <f t="shared" si="0"/>
        <v>0</v>
      </c>
      <c r="I28" s="44">
        <f t="shared" si="1"/>
        <v>0</v>
      </c>
      <c r="J28" s="44"/>
      <c r="K28" s="44"/>
      <c r="L28" s="45"/>
      <c r="M28" s="15"/>
    </row>
    <row r="29" spans="1:13" s="29" customFormat="1" x14ac:dyDescent="0.25">
      <c r="A29" s="26"/>
      <c r="B29" s="43"/>
      <c r="C29" s="44"/>
      <c r="D29" s="44"/>
      <c r="E29" s="44"/>
      <c r="F29" s="44"/>
      <c r="G29" s="44"/>
      <c r="H29" s="44">
        <f t="shared" si="0"/>
        <v>0</v>
      </c>
      <c r="I29" s="44">
        <f t="shared" si="1"/>
        <v>0</v>
      </c>
      <c r="J29" s="44"/>
      <c r="K29" s="44"/>
      <c r="L29" s="45"/>
      <c r="M29" s="15"/>
    </row>
    <row r="30" spans="1:13" s="29" customFormat="1" x14ac:dyDescent="0.25">
      <c r="A30" s="26"/>
      <c r="B30" s="43"/>
      <c r="C30" s="44"/>
      <c r="D30" s="44"/>
      <c r="E30" s="44"/>
      <c r="F30" s="44"/>
      <c r="G30" s="44"/>
      <c r="H30" s="44">
        <f t="shared" si="0"/>
        <v>0</v>
      </c>
      <c r="I30" s="44">
        <f t="shared" si="1"/>
        <v>0</v>
      </c>
      <c r="J30" s="44"/>
      <c r="K30" s="44"/>
      <c r="L30" s="45"/>
      <c r="M30" s="15"/>
    </row>
    <row r="31" spans="1:13" s="29" customFormat="1" x14ac:dyDescent="0.25">
      <c r="A31" s="26"/>
      <c r="B31" s="43"/>
      <c r="C31" s="44"/>
      <c r="D31" s="44"/>
      <c r="E31" s="44"/>
      <c r="F31" s="44"/>
      <c r="G31" s="44"/>
      <c r="H31" s="44">
        <f t="shared" si="0"/>
        <v>0</v>
      </c>
      <c r="I31" s="44">
        <f t="shared" si="1"/>
        <v>0</v>
      </c>
      <c r="J31" s="44"/>
      <c r="K31" s="44"/>
      <c r="L31" s="26"/>
      <c r="M31" s="15"/>
    </row>
    <row r="32" spans="1:13" s="29" customFormat="1" x14ac:dyDescent="0.25">
      <c r="A32" s="26"/>
      <c r="B32" s="43"/>
      <c r="C32" s="44"/>
      <c r="D32" s="44"/>
      <c r="E32" s="44"/>
      <c r="F32" s="44"/>
      <c r="G32" s="44"/>
      <c r="H32" s="44">
        <f t="shared" si="0"/>
        <v>0</v>
      </c>
      <c r="I32" s="44">
        <f t="shared" si="1"/>
        <v>0</v>
      </c>
      <c r="J32" s="44"/>
      <c r="K32" s="44"/>
      <c r="L32" s="45"/>
      <c r="M32" s="15"/>
    </row>
    <row r="33" spans="1:13" s="29" customFormat="1" x14ac:dyDescent="0.25">
      <c r="A33" s="26"/>
      <c r="B33" s="43"/>
      <c r="C33" s="44"/>
      <c r="D33" s="44"/>
      <c r="E33" s="44"/>
      <c r="F33" s="44"/>
      <c r="G33" s="44"/>
      <c r="H33" s="44">
        <f t="shared" si="0"/>
        <v>0</v>
      </c>
      <c r="I33" s="44">
        <f t="shared" si="1"/>
        <v>0</v>
      </c>
      <c r="J33" s="44"/>
      <c r="K33" s="44"/>
      <c r="L33" s="45"/>
      <c r="M33" s="15"/>
    </row>
    <row r="34" spans="1:13" s="29" customFormat="1" x14ac:dyDescent="0.25">
      <c r="A34" s="26"/>
      <c r="B34" s="43"/>
      <c r="C34" s="44"/>
      <c r="D34" s="44"/>
      <c r="E34" s="44"/>
      <c r="F34" s="44"/>
      <c r="G34" s="44"/>
      <c r="H34" s="44">
        <f t="shared" si="0"/>
        <v>0</v>
      </c>
      <c r="I34" s="44">
        <f t="shared" si="1"/>
        <v>0</v>
      </c>
      <c r="J34" s="44"/>
      <c r="K34" s="44"/>
      <c r="L34" s="45"/>
      <c r="M34" s="15"/>
    </row>
    <row r="35" spans="1:13" s="29" customFormat="1" x14ac:dyDescent="0.25">
      <c r="A35" s="26"/>
      <c r="B35" s="43"/>
      <c r="C35" s="44"/>
      <c r="D35" s="44"/>
      <c r="E35" s="44"/>
      <c r="F35" s="44"/>
      <c r="G35" s="44"/>
      <c r="H35" s="44">
        <f t="shared" si="0"/>
        <v>0</v>
      </c>
      <c r="I35" s="44">
        <f t="shared" si="1"/>
        <v>0</v>
      </c>
      <c r="J35" s="44"/>
      <c r="K35" s="44"/>
      <c r="L35" s="45"/>
      <c r="M35" s="15"/>
    </row>
    <row r="36" spans="1:13" s="29" customFormat="1" x14ac:dyDescent="0.25">
      <c r="A36" s="26"/>
      <c r="B36" s="43"/>
      <c r="C36" s="44"/>
      <c r="D36" s="44"/>
      <c r="E36" s="44"/>
      <c r="F36" s="44"/>
      <c r="G36" s="44"/>
      <c r="H36" s="44">
        <f t="shared" si="0"/>
        <v>0</v>
      </c>
      <c r="I36" s="44">
        <f t="shared" si="1"/>
        <v>0</v>
      </c>
      <c r="J36" s="44"/>
      <c r="K36" s="44"/>
      <c r="L36" s="45"/>
      <c r="M36" s="15"/>
    </row>
    <row r="37" spans="1:13" s="29" customFormat="1" x14ac:dyDescent="0.25">
      <c r="A37" s="26"/>
      <c r="B37" s="43"/>
      <c r="C37" s="44"/>
      <c r="D37" s="44"/>
      <c r="E37" s="44"/>
      <c r="F37" s="44"/>
      <c r="G37" s="44"/>
      <c r="H37" s="44">
        <f t="shared" si="0"/>
        <v>0</v>
      </c>
      <c r="I37" s="44">
        <f t="shared" si="1"/>
        <v>0</v>
      </c>
      <c r="J37" s="44"/>
      <c r="K37" s="44"/>
      <c r="L37" s="45"/>
      <c r="M37" s="15"/>
    </row>
    <row r="38" spans="1:13" s="29" customFormat="1" x14ac:dyDescent="0.25">
      <c r="A38" s="26"/>
      <c r="B38" s="43"/>
      <c r="C38" s="44"/>
      <c r="D38" s="44"/>
      <c r="E38" s="44"/>
      <c r="F38" s="44"/>
      <c r="G38" s="44"/>
      <c r="H38" s="44">
        <f t="shared" si="0"/>
        <v>0</v>
      </c>
      <c r="I38" s="44">
        <f t="shared" si="1"/>
        <v>0</v>
      </c>
      <c r="J38" s="44"/>
      <c r="K38" s="44"/>
      <c r="L38" s="45"/>
      <c r="M38" s="15"/>
    </row>
    <row r="39" spans="1:13" s="29" customFormat="1" x14ac:dyDescent="0.25">
      <c r="A39" s="26"/>
      <c r="B39" s="26"/>
      <c r="C39" s="27"/>
      <c r="D39" s="27"/>
      <c r="E39" s="27"/>
      <c r="F39" s="27"/>
      <c r="G39" s="27"/>
      <c r="H39" s="27">
        <f t="shared" si="0"/>
        <v>0</v>
      </c>
      <c r="I39" s="44">
        <f t="shared" si="1"/>
        <v>0</v>
      </c>
      <c r="J39" s="44"/>
      <c r="K39" s="44"/>
      <c r="L39" s="28"/>
    </row>
    <row r="40" spans="1:13" s="29" customFormat="1" x14ac:dyDescent="0.25">
      <c r="A40" s="26"/>
      <c r="B40" s="26"/>
      <c r="C40" s="27"/>
      <c r="D40" s="27"/>
      <c r="E40" s="27"/>
      <c r="F40" s="27"/>
      <c r="G40" s="27"/>
      <c r="H40" s="27">
        <f t="shared" si="0"/>
        <v>0</v>
      </c>
      <c r="I40" s="44">
        <f t="shared" si="1"/>
        <v>0</v>
      </c>
      <c r="J40" s="44"/>
      <c r="K40" s="44"/>
      <c r="L40" s="28"/>
    </row>
    <row r="41" spans="1:13" s="29" customFormat="1" x14ac:dyDescent="0.25">
      <c r="A41" s="26"/>
      <c r="B41" s="26"/>
      <c r="C41" s="27"/>
      <c r="D41" s="27"/>
      <c r="E41" s="27"/>
      <c r="F41" s="27"/>
      <c r="G41" s="27"/>
      <c r="H41" s="27">
        <f t="shared" si="0"/>
        <v>0</v>
      </c>
      <c r="I41" s="44">
        <f t="shared" si="1"/>
        <v>0</v>
      </c>
      <c r="J41" s="44"/>
      <c r="K41" s="44"/>
      <c r="L41" s="28"/>
    </row>
    <row r="42" spans="1:13" s="29" customFormat="1" x14ac:dyDescent="0.25">
      <c r="A42" s="26"/>
      <c r="B42" s="26"/>
      <c r="C42" s="27"/>
      <c r="D42" s="27"/>
      <c r="E42" s="27"/>
      <c r="F42" s="27"/>
      <c r="G42" s="27"/>
      <c r="H42" s="27">
        <f t="shared" si="0"/>
        <v>0</v>
      </c>
      <c r="I42" s="44">
        <f t="shared" si="1"/>
        <v>0</v>
      </c>
      <c r="J42" s="44"/>
      <c r="K42" s="44"/>
      <c r="L42" s="28"/>
    </row>
    <row r="43" spans="1:13" s="29" customFormat="1" x14ac:dyDescent="0.25">
      <c r="A43" s="26"/>
      <c r="B43" s="26"/>
      <c r="C43" s="27"/>
      <c r="D43" s="27"/>
      <c r="E43" s="27"/>
      <c r="F43" s="27"/>
      <c r="G43" s="27"/>
      <c r="H43" s="27">
        <f t="shared" si="0"/>
        <v>0</v>
      </c>
      <c r="I43" s="44">
        <f t="shared" si="1"/>
        <v>0</v>
      </c>
      <c r="J43" s="44"/>
      <c r="K43" s="44"/>
      <c r="L43" s="28"/>
    </row>
    <row r="44" spans="1:13" s="29" customFormat="1" x14ac:dyDescent="0.25">
      <c r="A44" s="26"/>
      <c r="B44" s="26"/>
      <c r="C44" s="27"/>
      <c r="D44" s="27"/>
      <c r="E44" s="27"/>
      <c r="F44" s="27"/>
      <c r="G44" s="27"/>
      <c r="H44" s="27">
        <f t="shared" si="0"/>
        <v>0</v>
      </c>
      <c r="I44" s="44">
        <f t="shared" si="1"/>
        <v>0</v>
      </c>
      <c r="J44" s="44"/>
      <c r="K44" s="44"/>
      <c r="L44" s="28"/>
    </row>
    <row r="45" spans="1:13" s="29" customFormat="1" x14ac:dyDescent="0.25">
      <c r="A45" s="26"/>
      <c r="B45" s="26"/>
      <c r="C45" s="27"/>
      <c r="D45" s="27"/>
      <c r="E45" s="27"/>
      <c r="F45" s="27"/>
      <c r="G45" s="27"/>
      <c r="H45" s="27">
        <f t="shared" si="0"/>
        <v>0</v>
      </c>
      <c r="I45" s="44">
        <f t="shared" si="1"/>
        <v>0</v>
      </c>
      <c r="J45" s="44"/>
      <c r="K45" s="44"/>
      <c r="L45" s="26"/>
    </row>
    <row r="46" spans="1:13" s="29" customFormat="1" x14ac:dyDescent="0.25">
      <c r="A46" s="26"/>
      <c r="B46" s="26"/>
      <c r="C46" s="27"/>
      <c r="D46" s="27"/>
      <c r="E46" s="27"/>
      <c r="F46" s="27"/>
      <c r="G46" s="27"/>
      <c r="H46" s="27">
        <f t="shared" si="0"/>
        <v>0</v>
      </c>
      <c r="I46" s="44">
        <f t="shared" si="1"/>
        <v>0</v>
      </c>
      <c r="J46" s="44"/>
      <c r="K46" s="44"/>
      <c r="L46" s="28"/>
    </row>
    <row r="47" spans="1:13" s="29" customFormat="1" x14ac:dyDescent="0.25">
      <c r="A47" s="26"/>
      <c r="B47" s="26"/>
      <c r="C47" s="27"/>
      <c r="D47" s="27"/>
      <c r="E47" s="27"/>
      <c r="F47" s="27"/>
      <c r="G47" s="27"/>
      <c r="H47" s="27">
        <f t="shared" si="0"/>
        <v>0</v>
      </c>
      <c r="I47" s="44">
        <f t="shared" si="1"/>
        <v>0</v>
      </c>
      <c r="J47" s="44"/>
      <c r="K47" s="44"/>
      <c r="L47" s="28"/>
    </row>
    <row r="48" spans="1:13" s="29" customFormat="1" x14ac:dyDescent="0.25">
      <c r="A48" s="26"/>
      <c r="B48" s="26"/>
      <c r="C48" s="27"/>
      <c r="D48" s="27"/>
      <c r="E48" s="27"/>
      <c r="F48" s="27"/>
      <c r="G48" s="27"/>
      <c r="H48" s="27">
        <f t="shared" si="0"/>
        <v>0</v>
      </c>
      <c r="I48" s="44">
        <f t="shared" si="1"/>
        <v>0</v>
      </c>
      <c r="J48" s="44"/>
      <c r="K48" s="44"/>
      <c r="L48" s="28"/>
    </row>
    <row r="49" spans="1:12" s="29" customFormat="1" x14ac:dyDescent="0.25">
      <c r="A49" s="26"/>
      <c r="B49" s="26"/>
      <c r="C49" s="27"/>
      <c r="D49" s="27"/>
      <c r="E49" s="27"/>
      <c r="F49" s="27"/>
      <c r="G49" s="27"/>
      <c r="H49" s="27">
        <f t="shared" si="0"/>
        <v>0</v>
      </c>
      <c r="I49" s="44">
        <f t="shared" si="1"/>
        <v>0</v>
      </c>
      <c r="J49" s="44"/>
      <c r="K49" s="44"/>
      <c r="L49" s="28"/>
    </row>
    <row r="50" spans="1:12" s="29" customFormat="1" x14ac:dyDescent="0.25">
      <c r="A50" s="26"/>
      <c r="B50" s="26"/>
      <c r="C50" s="27"/>
      <c r="D50" s="27"/>
      <c r="E50" s="27"/>
      <c r="F50" s="27"/>
      <c r="G50" s="27"/>
      <c r="H50" s="27">
        <f t="shared" si="0"/>
        <v>0</v>
      </c>
      <c r="I50" s="44">
        <f t="shared" si="1"/>
        <v>0</v>
      </c>
      <c r="J50" s="44"/>
      <c r="K50" s="44"/>
      <c r="L50" s="28"/>
    </row>
    <row r="51" spans="1:12" s="29" customFormat="1" x14ac:dyDescent="0.25">
      <c r="A51" s="26"/>
      <c r="B51" s="26"/>
      <c r="C51" s="27"/>
      <c r="D51" s="27"/>
      <c r="E51" s="27"/>
      <c r="F51" s="27"/>
      <c r="G51" s="27"/>
      <c r="H51" s="27">
        <f t="shared" si="0"/>
        <v>0</v>
      </c>
      <c r="I51" s="44">
        <f t="shared" si="1"/>
        <v>0</v>
      </c>
      <c r="J51" s="44"/>
      <c r="K51" s="44"/>
      <c r="L51" s="28"/>
    </row>
    <row r="52" spans="1:12" s="29" customFormat="1" x14ac:dyDescent="0.25">
      <c r="A52" s="26"/>
      <c r="B52" s="26"/>
      <c r="C52" s="27"/>
      <c r="D52" s="27"/>
      <c r="E52" s="27"/>
      <c r="F52" s="27"/>
      <c r="G52" s="27"/>
      <c r="H52" s="27">
        <f t="shared" si="0"/>
        <v>0</v>
      </c>
      <c r="I52" s="44">
        <f t="shared" si="1"/>
        <v>0</v>
      </c>
      <c r="J52" s="44"/>
      <c r="K52" s="44"/>
      <c r="L52" s="28"/>
    </row>
    <row r="53" spans="1:12" s="29" customFormat="1" x14ac:dyDescent="0.25">
      <c r="A53" s="26"/>
      <c r="B53" s="26"/>
      <c r="C53" s="27"/>
      <c r="D53" s="27"/>
      <c r="E53" s="27"/>
      <c r="F53" s="27"/>
      <c r="G53" s="27"/>
      <c r="H53" s="27">
        <f t="shared" si="0"/>
        <v>0</v>
      </c>
      <c r="I53" s="44">
        <f t="shared" si="1"/>
        <v>0</v>
      </c>
      <c r="J53" s="44"/>
      <c r="K53" s="44"/>
      <c r="L53" s="28"/>
    </row>
    <row r="54" spans="1:12" s="29" customFormat="1" x14ac:dyDescent="0.25">
      <c r="A54" s="26"/>
      <c r="B54" s="26"/>
      <c r="C54" s="27"/>
      <c r="D54" s="27"/>
      <c r="E54" s="27"/>
      <c r="F54" s="27"/>
      <c r="G54" s="27"/>
      <c r="H54" s="27">
        <f t="shared" si="0"/>
        <v>0</v>
      </c>
      <c r="I54" s="44">
        <f t="shared" si="1"/>
        <v>0</v>
      </c>
      <c r="J54" s="44"/>
      <c r="K54" s="44"/>
      <c r="L54" s="28"/>
    </row>
    <row r="55" spans="1:12" s="29" customFormat="1" x14ac:dyDescent="0.25">
      <c r="A55" s="26"/>
      <c r="B55" s="26"/>
      <c r="C55" s="27"/>
      <c r="D55" s="27"/>
      <c r="E55" s="27"/>
      <c r="F55" s="27"/>
      <c r="G55" s="27"/>
      <c r="H55" s="27">
        <f t="shared" si="0"/>
        <v>0</v>
      </c>
      <c r="I55" s="44">
        <f t="shared" si="1"/>
        <v>0</v>
      </c>
      <c r="J55" s="44"/>
      <c r="K55" s="44"/>
      <c r="L55" s="28"/>
    </row>
    <row r="56" spans="1:12" s="29" customFormat="1" x14ac:dyDescent="0.25">
      <c r="A56" s="26"/>
      <c r="B56" s="26"/>
      <c r="C56" s="27"/>
      <c r="D56" s="27"/>
      <c r="E56" s="27"/>
      <c r="F56" s="27"/>
      <c r="G56" s="27"/>
      <c r="H56" s="27">
        <f t="shared" si="0"/>
        <v>0</v>
      </c>
      <c r="I56" s="44">
        <f t="shared" si="1"/>
        <v>0</v>
      </c>
      <c r="J56" s="44"/>
      <c r="K56" s="44"/>
      <c r="L56" s="28"/>
    </row>
    <row r="57" spans="1:12" s="29" customFormat="1" x14ac:dyDescent="0.25">
      <c r="A57" s="26"/>
      <c r="B57" s="26"/>
      <c r="C57" s="27"/>
      <c r="D57" s="27"/>
      <c r="E57" s="27"/>
      <c r="F57" s="27"/>
      <c r="G57" s="27"/>
      <c r="H57" s="27">
        <f t="shared" si="0"/>
        <v>0</v>
      </c>
      <c r="I57" s="44">
        <f t="shared" si="1"/>
        <v>0</v>
      </c>
      <c r="J57" s="44"/>
      <c r="K57" s="44"/>
      <c r="L57" s="28"/>
    </row>
    <row r="58" spans="1:12" s="29" customFormat="1" x14ac:dyDescent="0.25">
      <c r="A58" s="26"/>
      <c r="B58" s="26"/>
      <c r="C58" s="27"/>
      <c r="D58" s="27"/>
      <c r="E58" s="27"/>
      <c r="F58" s="27"/>
      <c r="G58" s="27"/>
      <c r="H58" s="27">
        <f t="shared" si="0"/>
        <v>0</v>
      </c>
      <c r="I58" s="44">
        <f t="shared" si="1"/>
        <v>0</v>
      </c>
      <c r="J58" s="44"/>
      <c r="K58" s="44"/>
      <c r="L58" s="28"/>
    </row>
    <row r="59" spans="1:12" s="29" customFormat="1" x14ac:dyDescent="0.25">
      <c r="A59" s="26"/>
      <c r="B59" s="26"/>
      <c r="C59" s="27"/>
      <c r="D59" s="27"/>
      <c r="E59" s="27"/>
      <c r="F59" s="27"/>
      <c r="G59" s="27"/>
      <c r="H59" s="27">
        <f t="shared" si="0"/>
        <v>0</v>
      </c>
      <c r="I59" s="44">
        <f t="shared" si="1"/>
        <v>0</v>
      </c>
      <c r="J59" s="44"/>
      <c r="K59" s="44"/>
      <c r="L59" s="28"/>
    </row>
    <row r="60" spans="1:12" s="29" customFormat="1" x14ac:dyDescent="0.25">
      <c r="A60" s="26"/>
      <c r="B60" s="26"/>
      <c r="C60" s="27"/>
      <c r="D60" s="27"/>
      <c r="E60" s="27"/>
      <c r="F60" s="27"/>
      <c r="G60" s="27"/>
      <c r="H60" s="27">
        <f t="shared" si="0"/>
        <v>0</v>
      </c>
      <c r="I60" s="44">
        <f t="shared" si="1"/>
        <v>0</v>
      </c>
      <c r="J60" s="44"/>
      <c r="K60" s="44"/>
      <c r="L60" s="28"/>
    </row>
    <row r="61" spans="1:12" s="29" customFormat="1" x14ac:dyDescent="0.25">
      <c r="C61" s="30"/>
      <c r="D61" s="30"/>
      <c r="E61" s="30"/>
      <c r="F61" s="30"/>
      <c r="G61" s="34">
        <f>SUM(G2:G60)</f>
        <v>0</v>
      </c>
      <c r="H61" s="34">
        <f t="shared" ref="H61:I61" si="2">SUM(H2:H60)</f>
        <v>0</v>
      </c>
      <c r="I61" s="34">
        <f t="shared" si="2"/>
        <v>0</v>
      </c>
      <c r="J61" s="34"/>
      <c r="K61" s="34"/>
      <c r="L61" s="31"/>
    </row>
    <row r="63" spans="1:12" x14ac:dyDescent="0.25">
      <c r="G63" s="16"/>
      <c r="I63" s="16"/>
      <c r="J63" s="16"/>
      <c r="K63" s="16"/>
    </row>
    <row r="64" spans="1:12" x14ac:dyDescent="0.25">
      <c r="G64" s="16"/>
      <c r="I64" s="16"/>
      <c r="J64" s="16"/>
      <c r="K64" s="16"/>
    </row>
    <row r="65" spans="7:11" x14ac:dyDescent="0.25">
      <c r="G65" s="16"/>
      <c r="I65" s="16"/>
      <c r="J65" s="16"/>
      <c r="K65" s="16"/>
    </row>
    <row r="66" spans="7:11" x14ac:dyDescent="0.25">
      <c r="G66" s="16"/>
      <c r="I66" s="16"/>
      <c r="J66" s="16"/>
      <c r="K66" s="16"/>
    </row>
    <row r="67" spans="7:11" x14ac:dyDescent="0.25">
      <c r="G67" s="16"/>
      <c r="I67" s="16"/>
      <c r="J67" s="16"/>
      <c r="K67" s="16"/>
    </row>
    <row r="68" spans="7:11" x14ac:dyDescent="0.25">
      <c r="G68" s="16"/>
      <c r="I68" s="16"/>
      <c r="J68" s="16"/>
      <c r="K68" s="16"/>
    </row>
    <row r="69" spans="7:11" x14ac:dyDescent="0.25">
      <c r="G69" s="16"/>
      <c r="I69" s="16"/>
      <c r="J69" s="16"/>
      <c r="K69" s="16"/>
    </row>
    <row r="70" spans="7:11" x14ac:dyDescent="0.25">
      <c r="G70" s="16"/>
      <c r="I70" s="16"/>
      <c r="J70" s="16"/>
      <c r="K70" s="16"/>
    </row>
    <row r="71" spans="7:11" x14ac:dyDescent="0.25">
      <c r="G71" s="16"/>
      <c r="I71" s="16"/>
      <c r="J71" s="16"/>
      <c r="K71" s="16"/>
    </row>
    <row r="72" spans="7:11" x14ac:dyDescent="0.25">
      <c r="G72" s="16"/>
      <c r="I72" s="16"/>
      <c r="J72" s="16"/>
      <c r="K72" s="16"/>
    </row>
    <row r="73" spans="7:11" x14ac:dyDescent="0.25">
      <c r="G73" s="16"/>
      <c r="I73" s="16"/>
      <c r="J73" s="16"/>
      <c r="K73" s="16"/>
    </row>
    <row r="74" spans="7:11" x14ac:dyDescent="0.25">
      <c r="G74" s="16"/>
      <c r="I74" s="16"/>
      <c r="J74" s="16"/>
      <c r="K74" s="16"/>
    </row>
    <row r="75" spans="7:11" x14ac:dyDescent="0.25">
      <c r="G75" s="16"/>
      <c r="I75" s="16"/>
      <c r="J75" s="16"/>
      <c r="K75" s="16"/>
    </row>
    <row r="76" spans="7:11" x14ac:dyDescent="0.25">
      <c r="G76" s="16"/>
      <c r="I76" s="16"/>
      <c r="J76" s="16"/>
      <c r="K76" s="16"/>
    </row>
    <row r="77" spans="7:11" x14ac:dyDescent="0.25">
      <c r="G77" s="16"/>
      <c r="I77" s="16"/>
      <c r="J77" s="16"/>
      <c r="K77" s="16"/>
    </row>
    <row r="78" spans="7:11" x14ac:dyDescent="0.25">
      <c r="G78" s="16"/>
      <c r="I78" s="16"/>
      <c r="J78" s="16"/>
      <c r="K78" s="16"/>
    </row>
    <row r="79" spans="7:11" x14ac:dyDescent="0.25">
      <c r="G79" s="16"/>
      <c r="I79" s="16"/>
      <c r="J79" s="16"/>
      <c r="K79" s="16"/>
    </row>
    <row r="80" spans="7:11" x14ac:dyDescent="0.25">
      <c r="G80" s="16"/>
      <c r="I80" s="16"/>
      <c r="J80" s="16"/>
      <c r="K80" s="16"/>
    </row>
    <row r="81" spans="7:11" x14ac:dyDescent="0.25">
      <c r="G81" s="16"/>
      <c r="I81" s="16"/>
      <c r="J81" s="16"/>
      <c r="K81" s="16"/>
    </row>
    <row r="82" spans="7:11" x14ac:dyDescent="0.25">
      <c r="G82" s="16"/>
      <c r="I82" s="16"/>
      <c r="J82" s="16"/>
      <c r="K82" s="16"/>
    </row>
    <row r="83" spans="7:11" x14ac:dyDescent="0.25">
      <c r="G83" s="16"/>
      <c r="I83" s="16"/>
      <c r="J83" s="16"/>
      <c r="K83" s="16"/>
    </row>
    <row r="84" spans="7:11" x14ac:dyDescent="0.25">
      <c r="G84" s="16"/>
      <c r="I84" s="16"/>
      <c r="J84" s="16"/>
      <c r="K84" s="16"/>
    </row>
    <row r="85" spans="7:11" x14ac:dyDescent="0.25">
      <c r="G85" s="16"/>
      <c r="I85" s="16"/>
      <c r="J85" s="16"/>
      <c r="K85" s="16"/>
    </row>
    <row r="86" spans="7:11" x14ac:dyDescent="0.25">
      <c r="G86" s="16"/>
      <c r="I86" s="16"/>
      <c r="J86" s="16"/>
      <c r="K86" s="16"/>
    </row>
    <row r="87" spans="7:11" x14ac:dyDescent="0.25">
      <c r="G87" s="16"/>
      <c r="I87" s="16"/>
      <c r="J87" s="16"/>
      <c r="K87" s="16"/>
    </row>
    <row r="88" spans="7:11" x14ac:dyDescent="0.25">
      <c r="G88" s="16"/>
      <c r="I88" s="16"/>
      <c r="J88" s="16"/>
      <c r="K88" s="16"/>
    </row>
    <row r="89" spans="7:11" x14ac:dyDescent="0.25">
      <c r="G89" s="16"/>
      <c r="I89" s="16"/>
      <c r="J89" s="16"/>
      <c r="K89" s="16"/>
    </row>
    <row r="90" spans="7:11" x14ac:dyDescent="0.25">
      <c r="G90" s="16"/>
      <c r="I90" s="16"/>
      <c r="J90" s="16"/>
      <c r="K90" s="16"/>
    </row>
    <row r="91" spans="7:11" x14ac:dyDescent="0.25">
      <c r="G91" s="16"/>
      <c r="I91" s="16"/>
      <c r="J91" s="16"/>
      <c r="K91" s="16"/>
    </row>
    <row r="92" spans="7:11" x14ac:dyDescent="0.25">
      <c r="G92" s="16"/>
      <c r="I92" s="16"/>
      <c r="J92" s="16"/>
      <c r="K92" s="16"/>
    </row>
    <row r="93" spans="7:11" x14ac:dyDescent="0.25">
      <c r="G93" s="16"/>
      <c r="I93" s="16"/>
      <c r="J93" s="16"/>
      <c r="K93" s="16"/>
    </row>
    <row r="94" spans="7:11" x14ac:dyDescent="0.25">
      <c r="G94" s="16"/>
      <c r="I94" s="16"/>
      <c r="J94" s="16"/>
      <c r="K94" s="16"/>
    </row>
    <row r="95" spans="7:11" x14ac:dyDescent="0.25">
      <c r="G95" s="16"/>
      <c r="I95" s="16"/>
      <c r="J95" s="16"/>
      <c r="K95" s="16"/>
    </row>
    <row r="96" spans="7:11" x14ac:dyDescent="0.25">
      <c r="G96" s="16"/>
      <c r="I96" s="16"/>
      <c r="J96" s="16"/>
      <c r="K96" s="16"/>
    </row>
    <row r="97" spans="7:11" x14ac:dyDescent="0.25">
      <c r="G97" s="16"/>
      <c r="I97" s="16"/>
      <c r="J97" s="16"/>
      <c r="K97" s="16"/>
    </row>
    <row r="98" spans="7:11" x14ac:dyDescent="0.25">
      <c r="G98" s="16"/>
      <c r="I98" s="16"/>
      <c r="J98" s="16"/>
      <c r="K98" s="16"/>
    </row>
    <row r="99" spans="7:11" x14ac:dyDescent="0.25">
      <c r="G99" s="16"/>
      <c r="I99" s="16"/>
      <c r="J99" s="16"/>
      <c r="K99" s="16"/>
    </row>
    <row r="100" spans="7:11" x14ac:dyDescent="0.25">
      <c r="G100" s="16"/>
      <c r="I100" s="16"/>
      <c r="J100" s="16"/>
      <c r="K100" s="16"/>
    </row>
    <row r="101" spans="7:11" x14ac:dyDescent="0.25">
      <c r="G101" s="16"/>
      <c r="I101" s="16"/>
      <c r="J101" s="16"/>
      <c r="K101" s="16"/>
    </row>
    <row r="102" spans="7:11" x14ac:dyDescent="0.25">
      <c r="G102" s="16"/>
      <c r="I102" s="16"/>
      <c r="J102" s="16"/>
      <c r="K102" s="16"/>
    </row>
    <row r="103" spans="7:11" x14ac:dyDescent="0.25">
      <c r="G103" s="16"/>
      <c r="I103" s="16"/>
      <c r="J103" s="16"/>
      <c r="K103" s="16"/>
    </row>
    <row r="104" spans="7:11" x14ac:dyDescent="0.25">
      <c r="G104" s="16"/>
      <c r="I104" s="16"/>
      <c r="J104" s="16"/>
      <c r="K104" s="16"/>
    </row>
    <row r="105" spans="7:11" x14ac:dyDescent="0.25">
      <c r="G105" s="16"/>
      <c r="I105" s="16"/>
      <c r="J105" s="16"/>
      <c r="K105" s="16"/>
    </row>
    <row r="106" spans="7:11" x14ac:dyDescent="0.25">
      <c r="G106" s="16"/>
      <c r="I106" s="16"/>
      <c r="J106" s="16"/>
      <c r="K106" s="16"/>
    </row>
    <row r="107" spans="7:11" x14ac:dyDescent="0.25">
      <c r="G107" s="16"/>
      <c r="I107" s="16"/>
      <c r="J107" s="16"/>
      <c r="K107" s="16"/>
    </row>
    <row r="108" spans="7:11" x14ac:dyDescent="0.25">
      <c r="G108" s="16"/>
      <c r="I108" s="16"/>
      <c r="J108" s="16"/>
      <c r="K108" s="16"/>
    </row>
    <row r="109" spans="7:11" x14ac:dyDescent="0.25">
      <c r="G109" s="16"/>
      <c r="I109" s="16"/>
      <c r="J109" s="16"/>
      <c r="K109" s="16"/>
    </row>
    <row r="110" spans="7:11" x14ac:dyDescent="0.25">
      <c r="G110" s="16"/>
      <c r="I110" s="16"/>
      <c r="J110" s="16"/>
      <c r="K110" s="16"/>
    </row>
    <row r="111" spans="7:11" x14ac:dyDescent="0.25">
      <c r="G111" s="16"/>
      <c r="I111" s="16"/>
      <c r="J111" s="16"/>
      <c r="K111" s="16"/>
    </row>
    <row r="112" spans="7:11" x14ac:dyDescent="0.25">
      <c r="G112" s="16"/>
      <c r="I112" s="16"/>
      <c r="J112" s="16"/>
      <c r="K112" s="16"/>
    </row>
    <row r="113" spans="7:11" x14ac:dyDescent="0.25">
      <c r="G113" s="16"/>
      <c r="I113" s="16"/>
      <c r="J113" s="16"/>
      <c r="K113" s="16"/>
    </row>
    <row r="114" spans="7:11" x14ac:dyDescent="0.25">
      <c r="G114" s="16"/>
      <c r="I114" s="16"/>
      <c r="J114" s="16"/>
      <c r="K114" s="16"/>
    </row>
    <row r="115" spans="7:11" x14ac:dyDescent="0.25">
      <c r="G115" s="16"/>
      <c r="I115" s="16"/>
      <c r="J115" s="16"/>
      <c r="K115" s="16"/>
    </row>
    <row r="116" spans="7:11" x14ac:dyDescent="0.25">
      <c r="G116" s="16"/>
      <c r="I116" s="16"/>
      <c r="J116" s="16"/>
      <c r="K116" s="16"/>
    </row>
    <row r="117" spans="7:11" x14ac:dyDescent="0.25">
      <c r="G117" s="16"/>
      <c r="I117" s="16"/>
      <c r="J117" s="16"/>
      <c r="K117" s="16"/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A13B-6F24-403D-ABD6-191F907D9740}">
  <dimension ref="A3:H21"/>
  <sheetViews>
    <sheetView workbookViewId="0">
      <selection activeCell="C14" sqref="C14"/>
    </sheetView>
  </sheetViews>
  <sheetFormatPr baseColWidth="10" defaultRowHeight="12.75" x14ac:dyDescent="0.2"/>
  <cols>
    <col min="2" max="2" width="14.140625" bestFit="1" customWidth="1"/>
    <col min="3" max="3" width="18.85546875" customWidth="1"/>
    <col min="6" max="6" width="11.140625" bestFit="1" customWidth="1"/>
  </cols>
  <sheetData>
    <row r="3" spans="1:7" x14ac:dyDescent="0.2">
      <c r="A3" s="84" t="s">
        <v>60</v>
      </c>
      <c r="B3" s="84"/>
    </row>
    <row r="4" spans="1:7" x14ac:dyDescent="0.2">
      <c r="A4" s="84" t="s">
        <v>0</v>
      </c>
      <c r="B4" s="84"/>
    </row>
    <row r="5" spans="1:7" x14ac:dyDescent="0.2">
      <c r="A5" s="84" t="s">
        <v>55</v>
      </c>
      <c r="B5" s="84"/>
      <c r="C5" s="11"/>
    </row>
    <row r="6" spans="1:7" ht="13.5" thickBot="1" x14ac:dyDescent="0.25">
      <c r="F6" s="83"/>
      <c r="G6" s="85"/>
    </row>
    <row r="7" spans="1:7" ht="15.75" thickBot="1" x14ac:dyDescent="0.3">
      <c r="A7" s="1" t="s">
        <v>1</v>
      </c>
      <c r="B7" s="1" t="s">
        <v>2</v>
      </c>
      <c r="C7" s="19" t="s">
        <v>34</v>
      </c>
      <c r="D7" s="19" t="s">
        <v>35</v>
      </c>
      <c r="E7" s="19" t="s">
        <v>36</v>
      </c>
      <c r="F7" s="24" t="s">
        <v>39</v>
      </c>
      <c r="G7" s="24" t="s">
        <v>38</v>
      </c>
    </row>
    <row r="8" spans="1:7" ht="13.5" thickBot="1" x14ac:dyDescent="0.25">
      <c r="A8" s="2">
        <v>45658</v>
      </c>
      <c r="B8" s="3"/>
      <c r="F8" s="4"/>
      <c r="G8" s="4"/>
    </row>
    <row r="9" spans="1:7" ht="13.5" thickBot="1" x14ac:dyDescent="0.25">
      <c r="A9" s="2">
        <v>45689</v>
      </c>
      <c r="B9" s="3"/>
      <c r="F9" s="4"/>
      <c r="G9" s="4"/>
    </row>
    <row r="10" spans="1:7" ht="13.5" thickBot="1" x14ac:dyDescent="0.25">
      <c r="A10" s="2">
        <v>45717</v>
      </c>
      <c r="B10" s="3"/>
      <c r="F10" s="4"/>
      <c r="G10" s="4"/>
    </row>
    <row r="11" spans="1:7" ht="13.5" thickBot="1" x14ac:dyDescent="0.25">
      <c r="A11" s="2">
        <v>45748</v>
      </c>
      <c r="B11" s="3"/>
      <c r="F11" s="4"/>
      <c r="G11" s="4"/>
    </row>
    <row r="12" spans="1:7" ht="13.5" thickBot="1" x14ac:dyDescent="0.25">
      <c r="A12" s="2">
        <v>45778</v>
      </c>
      <c r="B12" s="3"/>
      <c r="F12" s="4"/>
      <c r="G12" s="4"/>
    </row>
    <row r="13" spans="1:7" ht="13.5" thickBot="1" x14ac:dyDescent="0.25">
      <c r="A13" s="2">
        <v>45809</v>
      </c>
      <c r="B13" s="3"/>
      <c r="F13" s="4"/>
      <c r="G13" s="4"/>
    </row>
    <row r="14" spans="1:7" ht="13.5" thickBot="1" x14ac:dyDescent="0.25">
      <c r="A14" s="2">
        <v>45839</v>
      </c>
      <c r="B14" s="3"/>
      <c r="C14" s="11"/>
      <c r="D14" s="11"/>
      <c r="E14" s="11"/>
      <c r="F14" s="4"/>
      <c r="G14" s="4"/>
    </row>
    <row r="15" spans="1:7" ht="13.5" thickBot="1" x14ac:dyDescent="0.25">
      <c r="A15" s="2">
        <v>45870</v>
      </c>
      <c r="B15" s="3"/>
      <c r="C15" s="11"/>
      <c r="F15" s="4"/>
      <c r="G15" s="4"/>
    </row>
    <row r="16" spans="1:7" ht="13.5" thickBot="1" x14ac:dyDescent="0.25">
      <c r="A16" s="2">
        <v>45901</v>
      </c>
      <c r="B16" s="3"/>
      <c r="C16" s="11"/>
      <c r="F16" s="4"/>
      <c r="G16" s="4"/>
    </row>
    <row r="17" spans="1:8" ht="13.5" thickBot="1" x14ac:dyDescent="0.25">
      <c r="A17" s="2">
        <v>45931</v>
      </c>
      <c r="B17" s="3"/>
      <c r="C17" s="11"/>
      <c r="F17" s="4"/>
      <c r="G17" s="4"/>
    </row>
    <row r="18" spans="1:8" ht="13.5" thickBot="1" x14ac:dyDescent="0.25">
      <c r="A18" s="2">
        <v>45962</v>
      </c>
      <c r="B18" s="3"/>
      <c r="C18" s="11"/>
      <c r="F18" s="4"/>
      <c r="G18" s="4"/>
    </row>
    <row r="19" spans="1:8" ht="13.5" thickBot="1" x14ac:dyDescent="0.25">
      <c r="A19" s="2">
        <v>45992</v>
      </c>
      <c r="B19" s="3"/>
      <c r="C19" s="11"/>
      <c r="F19" s="4"/>
      <c r="G19" s="4"/>
    </row>
    <row r="20" spans="1:8" x14ac:dyDescent="0.2">
      <c r="C20" s="11">
        <f>SUM(C8:C19)</f>
        <v>0</v>
      </c>
      <c r="D20" s="23">
        <f>+B19-C20</f>
        <v>0</v>
      </c>
      <c r="E20" s="11">
        <f>B19-C20-D20</f>
        <v>0</v>
      </c>
      <c r="F20" s="25">
        <f>+C20</f>
        <v>0</v>
      </c>
      <c r="G20" s="25">
        <f>+D20</f>
        <v>0</v>
      </c>
      <c r="H20" s="11">
        <f>SUM(F20:G20)</f>
        <v>0</v>
      </c>
    </row>
    <row r="21" spans="1:8" x14ac:dyDescent="0.2">
      <c r="F21" s="35" t="e">
        <f>+F20/B19</f>
        <v>#DIV/0!</v>
      </c>
      <c r="G21" s="35" t="e">
        <f>+G20/B19</f>
        <v>#DIV/0!</v>
      </c>
    </row>
  </sheetData>
  <mergeCells count="4">
    <mergeCell ref="A3:B3"/>
    <mergeCell ref="A4:B4"/>
    <mergeCell ref="A5:B5"/>
    <mergeCell ref="F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4CD9-2B90-4239-A195-33E22826B97E}">
  <dimension ref="A2:R71"/>
  <sheetViews>
    <sheetView workbookViewId="0">
      <selection activeCell="C5" sqref="C5:E9"/>
    </sheetView>
  </sheetViews>
  <sheetFormatPr baseColWidth="10" defaultRowHeight="12.75" x14ac:dyDescent="0.2"/>
  <cols>
    <col min="1" max="1" width="15.42578125" style="5" customWidth="1"/>
    <col min="2" max="2" width="9.85546875" style="5" customWidth="1"/>
    <col min="3" max="3" width="29.42578125" style="5" customWidth="1"/>
    <col min="4" max="4" width="30.42578125" style="5" customWidth="1"/>
    <col min="5" max="5" width="51.85546875" style="20" customWidth="1"/>
    <col min="6" max="6" width="8.140625" style="5" customWidth="1"/>
    <col min="7" max="7" width="9.140625" style="5" bestFit="1" customWidth="1"/>
    <col min="8" max="8" width="8.140625" style="5" customWidth="1"/>
    <col min="9" max="9" width="9.140625" style="5" bestFit="1" customWidth="1"/>
    <col min="10" max="10" width="8.140625" style="5" customWidth="1"/>
    <col min="11" max="11" width="9.140625" style="5" bestFit="1" customWidth="1"/>
    <col min="12" max="12" width="8.140625" style="5" customWidth="1"/>
    <col min="13" max="13" width="9.140625" style="5" bestFit="1" customWidth="1"/>
    <col min="14" max="14" width="8.140625" style="5" customWidth="1"/>
    <col min="15" max="15" width="9.140625" style="5" bestFit="1" customWidth="1"/>
    <col min="16" max="16" width="8.140625" style="5" customWidth="1"/>
    <col min="17" max="17" width="9.140625" style="5" bestFit="1" customWidth="1"/>
    <col min="18" max="18" width="11.85546875" style="9" bestFit="1" customWidth="1"/>
  </cols>
  <sheetData>
    <row r="2" spans="1:18" ht="18" x14ac:dyDescent="0.2">
      <c r="A2" s="42" t="s">
        <v>58</v>
      </c>
      <c r="E2" s="55" t="s">
        <v>83</v>
      </c>
    </row>
    <row r="3" spans="1:18" x14ac:dyDescent="0.2">
      <c r="D3" s="5" t="s">
        <v>40</v>
      </c>
    </row>
    <row r="4" spans="1:18" x14ac:dyDescent="0.2">
      <c r="A4" s="8" t="s">
        <v>15</v>
      </c>
      <c r="B4" s="8" t="s">
        <v>41</v>
      </c>
      <c r="C4" s="8" t="s">
        <v>21</v>
      </c>
      <c r="D4" s="7" t="s">
        <v>43</v>
      </c>
      <c r="E4" s="12" t="s">
        <v>22</v>
      </c>
    </row>
    <row r="5" spans="1:18" x14ac:dyDescent="0.2">
      <c r="A5" s="37" t="s">
        <v>56</v>
      </c>
      <c r="B5" s="36" t="s">
        <v>42</v>
      </c>
      <c r="C5" s="36" t="s">
        <v>19</v>
      </c>
      <c r="D5" s="36"/>
      <c r="E5" s="38"/>
      <c r="F5"/>
      <c r="G5"/>
      <c r="H5"/>
      <c r="I5"/>
      <c r="J5"/>
      <c r="K5"/>
      <c r="L5"/>
      <c r="M5"/>
      <c r="N5"/>
      <c r="O5"/>
      <c r="P5"/>
      <c r="Q5"/>
      <c r="R5"/>
    </row>
    <row r="6" spans="1:18" x14ac:dyDescent="0.2">
      <c r="A6" s="36"/>
      <c r="B6" s="36"/>
      <c r="C6" s="36" t="s">
        <v>16</v>
      </c>
      <c r="D6" s="36"/>
      <c r="E6" s="38"/>
      <c r="F6"/>
      <c r="G6"/>
      <c r="H6"/>
      <c r="I6"/>
      <c r="J6"/>
      <c r="K6"/>
      <c r="L6"/>
      <c r="M6"/>
      <c r="N6"/>
      <c r="O6"/>
      <c r="P6"/>
      <c r="Q6"/>
      <c r="R6"/>
    </row>
    <row r="7" spans="1:18" x14ac:dyDescent="0.2">
      <c r="A7" s="36"/>
      <c r="B7" s="36"/>
      <c r="C7" s="36" t="s">
        <v>17</v>
      </c>
      <c r="D7" s="36"/>
      <c r="E7" s="38"/>
      <c r="F7"/>
      <c r="G7"/>
      <c r="H7"/>
      <c r="I7"/>
      <c r="J7"/>
      <c r="K7"/>
      <c r="L7"/>
      <c r="M7"/>
      <c r="N7"/>
      <c r="O7"/>
      <c r="P7"/>
      <c r="Q7"/>
      <c r="R7"/>
    </row>
    <row r="8" spans="1:18" x14ac:dyDescent="0.2">
      <c r="A8" s="36"/>
      <c r="B8" s="36"/>
      <c r="C8" s="36" t="s">
        <v>18</v>
      </c>
      <c r="D8" s="36"/>
      <c r="E8" s="38"/>
      <c r="F8"/>
      <c r="G8"/>
      <c r="H8"/>
      <c r="I8"/>
      <c r="J8"/>
      <c r="K8"/>
      <c r="L8"/>
      <c r="M8"/>
      <c r="N8"/>
      <c r="O8"/>
      <c r="P8"/>
      <c r="Q8"/>
      <c r="R8"/>
    </row>
    <row r="9" spans="1:18" x14ac:dyDescent="0.2">
      <c r="A9" s="36"/>
      <c r="B9" s="36"/>
      <c r="C9" s="37" t="s">
        <v>57</v>
      </c>
      <c r="D9" s="36"/>
      <c r="E9" s="38"/>
      <c r="F9"/>
      <c r="G9"/>
      <c r="H9"/>
      <c r="I9"/>
      <c r="J9"/>
      <c r="K9"/>
      <c r="L9"/>
      <c r="M9"/>
      <c r="N9"/>
      <c r="O9"/>
      <c r="P9"/>
      <c r="Q9"/>
      <c r="R9"/>
    </row>
    <row r="10" spans="1:18" x14ac:dyDescent="0.2">
      <c r="A10" s="39" t="s">
        <v>56</v>
      </c>
      <c r="B10" s="40" t="s">
        <v>42</v>
      </c>
      <c r="C10" s="40" t="s">
        <v>19</v>
      </c>
      <c r="D10" s="40"/>
      <c r="E10" s="41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x14ac:dyDescent="0.2">
      <c r="A11" s="40"/>
      <c r="B11" s="40"/>
      <c r="C11" s="40" t="s">
        <v>16</v>
      </c>
      <c r="D11" s="40"/>
      <c r="E11" s="4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1:18" x14ac:dyDescent="0.2">
      <c r="A12" s="40"/>
      <c r="B12" s="40"/>
      <c r="C12" s="40" t="s">
        <v>17</v>
      </c>
      <c r="D12" s="40"/>
      <c r="E12" s="41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2">
      <c r="A13" s="40"/>
      <c r="B13" s="40"/>
      <c r="C13" s="40" t="s">
        <v>18</v>
      </c>
      <c r="D13" s="40"/>
      <c r="E13" s="41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2">
      <c r="A14" s="40"/>
      <c r="B14" s="40"/>
      <c r="C14" s="39" t="s">
        <v>57</v>
      </c>
      <c r="D14" s="40"/>
      <c r="E14" s="41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2">
      <c r="A15" s="37" t="s">
        <v>56</v>
      </c>
      <c r="B15" s="36" t="s">
        <v>42</v>
      </c>
      <c r="C15" s="36" t="s">
        <v>19</v>
      </c>
      <c r="D15" s="36"/>
      <c r="E15" s="38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x14ac:dyDescent="0.2">
      <c r="A16" s="36"/>
      <c r="B16" s="36"/>
      <c r="C16" s="36" t="s">
        <v>16</v>
      </c>
      <c r="D16" s="36"/>
      <c r="E16" s="38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">
      <c r="A17" s="36"/>
      <c r="B17" s="36"/>
      <c r="C17" s="36" t="s">
        <v>17</v>
      </c>
      <c r="D17" s="36"/>
      <c r="E17" s="38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">
      <c r="A18" s="36"/>
      <c r="B18" s="36"/>
      <c r="C18" s="36" t="s">
        <v>18</v>
      </c>
      <c r="D18" s="36"/>
      <c r="E18" s="3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">
      <c r="A19" s="36"/>
      <c r="B19" s="36"/>
      <c r="C19" s="37" t="s">
        <v>57</v>
      </c>
      <c r="D19" s="36"/>
      <c r="E19" s="38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">
      <c r="A20" s="39" t="s">
        <v>56</v>
      </c>
      <c r="B20" s="40" t="s">
        <v>42</v>
      </c>
      <c r="C20" s="40" t="s">
        <v>19</v>
      </c>
      <c r="D20" s="40"/>
      <c r="E20" s="41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">
      <c r="A21" s="40"/>
      <c r="B21" s="40"/>
      <c r="C21" s="40" t="s">
        <v>16</v>
      </c>
      <c r="D21" s="40"/>
      <c r="E21" s="4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">
      <c r="A22" s="40"/>
      <c r="B22" s="40"/>
      <c r="C22" s="40" t="s">
        <v>17</v>
      </c>
      <c r="D22" s="40"/>
      <c r="E22" s="41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">
      <c r="A23" s="40"/>
      <c r="B23" s="40"/>
      <c r="C23" s="40" t="s">
        <v>18</v>
      </c>
      <c r="D23" s="40"/>
      <c r="E23" s="41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">
      <c r="A24" s="40"/>
      <c r="B24" s="40"/>
      <c r="C24" s="39" t="s">
        <v>57</v>
      </c>
      <c r="D24" s="40"/>
      <c r="E24" s="41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">
      <c r="A25" s="37" t="s">
        <v>56</v>
      </c>
      <c r="B25" s="36" t="s">
        <v>42</v>
      </c>
      <c r="C25" s="36" t="s">
        <v>19</v>
      </c>
      <c r="D25" s="36"/>
      <c r="E25" s="38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">
      <c r="A26" s="36"/>
      <c r="B26" s="36"/>
      <c r="C26" s="36" t="s">
        <v>16</v>
      </c>
      <c r="D26" s="36"/>
      <c r="E26" s="38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">
      <c r="A27" s="36"/>
      <c r="B27" s="36"/>
      <c r="C27" s="36" t="s">
        <v>17</v>
      </c>
      <c r="D27" s="36"/>
      <c r="E27" s="38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">
      <c r="A28" s="36"/>
      <c r="B28" s="36"/>
      <c r="C28" s="36" t="s">
        <v>18</v>
      </c>
      <c r="D28" s="36"/>
      <c r="E28" s="3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2">
      <c r="A29" s="36"/>
      <c r="B29" s="36"/>
      <c r="C29" s="37" t="s">
        <v>57</v>
      </c>
      <c r="D29" s="36"/>
      <c r="E29" s="38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2">
      <c r="A30" s="39" t="s">
        <v>56</v>
      </c>
      <c r="B30" s="40" t="s">
        <v>42</v>
      </c>
      <c r="C30" s="40" t="s">
        <v>19</v>
      </c>
      <c r="D30" s="40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">
      <c r="A31" s="40"/>
      <c r="B31" s="40"/>
      <c r="C31" s="40" t="s">
        <v>16</v>
      </c>
      <c r="D31" s="40"/>
      <c r="E31" s="4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">
      <c r="A32" s="40"/>
      <c r="B32" s="40"/>
      <c r="C32" s="40" t="s">
        <v>17</v>
      </c>
      <c r="D32" s="40"/>
      <c r="E32" s="4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2">
      <c r="A33" s="40"/>
      <c r="B33" s="40"/>
      <c r="C33" s="40" t="s">
        <v>18</v>
      </c>
      <c r="D33" s="40"/>
      <c r="E33" s="4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2">
      <c r="A34" s="40"/>
      <c r="B34" s="40"/>
      <c r="C34" s="39" t="s">
        <v>57</v>
      </c>
      <c r="D34" s="40"/>
      <c r="E34" s="4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">
      <c r="A35" s="37" t="s">
        <v>56</v>
      </c>
      <c r="B35" s="36" t="s">
        <v>42</v>
      </c>
      <c r="C35" s="36" t="s">
        <v>19</v>
      </c>
      <c r="D35" s="36"/>
      <c r="E35" s="38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">
      <c r="A36" s="36"/>
      <c r="B36" s="36"/>
      <c r="C36" s="36" t="s">
        <v>16</v>
      </c>
      <c r="D36" s="36"/>
      <c r="E36" s="38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">
      <c r="A37" s="36"/>
      <c r="B37" s="36"/>
      <c r="C37" s="36" t="s">
        <v>17</v>
      </c>
      <c r="D37" s="36"/>
      <c r="E37" s="38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">
      <c r="A38" s="36"/>
      <c r="B38" s="36"/>
      <c r="C38" s="36" t="s">
        <v>18</v>
      </c>
      <c r="D38" s="36"/>
      <c r="E38" s="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">
      <c r="A39" s="36"/>
      <c r="B39" s="36"/>
      <c r="C39" s="37" t="s">
        <v>57</v>
      </c>
      <c r="D39" s="36"/>
      <c r="E39" s="38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">
      <c r="A40" s="37" t="s">
        <v>56</v>
      </c>
      <c r="B40" s="36" t="s">
        <v>42</v>
      </c>
      <c r="C40" s="36" t="s">
        <v>19</v>
      </c>
      <c r="D40" s="36"/>
      <c r="E40" s="38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">
      <c r="A41" s="36"/>
      <c r="B41" s="36"/>
      <c r="C41" s="36" t="s">
        <v>16</v>
      </c>
      <c r="D41" s="36"/>
      <c r="E41" s="38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">
      <c r="A42" s="36"/>
      <c r="B42" s="36"/>
      <c r="C42" s="36" t="s">
        <v>17</v>
      </c>
      <c r="D42" s="36"/>
      <c r="E42" s="38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">
      <c r="A43" s="36"/>
      <c r="B43" s="36"/>
      <c r="C43" s="36" t="s">
        <v>18</v>
      </c>
      <c r="D43" s="36"/>
      <c r="E43" s="38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">
      <c r="A44" s="36"/>
      <c r="B44" s="36"/>
      <c r="C44" s="37" t="s">
        <v>57</v>
      </c>
      <c r="D44" s="36"/>
      <c r="E44" s="38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">
      <c r="A45" s="39" t="s">
        <v>56</v>
      </c>
      <c r="B45" s="40" t="s">
        <v>42</v>
      </c>
      <c r="C45" s="40" t="s">
        <v>19</v>
      </c>
      <c r="D45" s="40"/>
      <c r="E45" s="4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">
      <c r="A46" s="40"/>
      <c r="B46" s="40"/>
      <c r="C46" s="40" t="s">
        <v>16</v>
      </c>
      <c r="D46" s="40"/>
      <c r="E46" s="4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">
      <c r="A47" s="40"/>
      <c r="B47" s="40"/>
      <c r="C47" s="40" t="s">
        <v>17</v>
      </c>
      <c r="D47" s="40"/>
      <c r="E47" s="41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">
      <c r="A48" s="40"/>
      <c r="B48" s="40"/>
      <c r="C48" s="40" t="s">
        <v>18</v>
      </c>
      <c r="D48" s="40"/>
      <c r="E48" s="41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">
      <c r="A49" s="40"/>
      <c r="B49" s="40"/>
      <c r="C49" s="39" t="s">
        <v>57</v>
      </c>
      <c r="D49" s="40"/>
      <c r="E49" s="41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">
      <c r="A50" s="37" t="s">
        <v>56</v>
      </c>
      <c r="B50" s="36" t="s">
        <v>42</v>
      </c>
      <c r="C50" s="36" t="s">
        <v>19</v>
      </c>
      <c r="D50" s="36"/>
      <c r="E50" s="38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">
      <c r="A51" s="36"/>
      <c r="B51" s="36"/>
      <c r="C51" s="36" t="s">
        <v>16</v>
      </c>
      <c r="D51" s="36"/>
      <c r="E51" s="38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">
      <c r="A52" s="36"/>
      <c r="B52" s="36"/>
      <c r="C52" s="36" t="s">
        <v>17</v>
      </c>
      <c r="D52" s="36"/>
      <c r="E52" s="38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">
      <c r="A53" s="36"/>
      <c r="B53" s="36"/>
      <c r="C53" s="36" t="s">
        <v>18</v>
      </c>
      <c r="D53" s="36"/>
      <c r="E53" s="38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">
      <c r="A54" s="36"/>
      <c r="B54" s="36"/>
      <c r="C54" s="37" t="s">
        <v>57</v>
      </c>
      <c r="D54" s="36"/>
      <c r="E54" s="38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">
      <c r="A55" s="37" t="s">
        <v>56</v>
      </c>
      <c r="B55" s="36" t="s">
        <v>42</v>
      </c>
      <c r="C55" s="36" t="s">
        <v>19</v>
      </c>
      <c r="D55" s="36"/>
      <c r="E55" s="38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">
      <c r="A56" s="36"/>
      <c r="B56" s="36"/>
      <c r="C56" s="36" t="s">
        <v>16</v>
      </c>
      <c r="D56" s="36"/>
      <c r="E56" s="38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">
      <c r="A57" s="36"/>
      <c r="B57" s="36"/>
      <c r="C57" s="36" t="s">
        <v>17</v>
      </c>
      <c r="D57" s="36"/>
      <c r="E57" s="38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">
      <c r="A58" s="36"/>
      <c r="B58" s="36"/>
      <c r="C58" s="36" t="s">
        <v>18</v>
      </c>
      <c r="D58" s="36"/>
      <c r="E58" s="3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">
      <c r="A59" s="36"/>
      <c r="B59" s="36"/>
      <c r="C59" s="37" t="s">
        <v>57</v>
      </c>
      <c r="D59" s="36"/>
      <c r="E59" s="38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">
      <c r="A60" s="39" t="s">
        <v>56</v>
      </c>
      <c r="B60" s="40" t="s">
        <v>42</v>
      </c>
      <c r="C60" s="40" t="s">
        <v>19</v>
      </c>
      <c r="D60" s="40"/>
      <c r="E60" s="41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">
      <c r="A61" s="40"/>
      <c r="B61" s="40"/>
      <c r="C61" s="40" t="s">
        <v>16</v>
      </c>
      <c r="D61" s="40"/>
      <c r="E61" s="4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">
      <c r="A62" s="40"/>
      <c r="B62" s="40"/>
      <c r="C62" s="40" t="s">
        <v>17</v>
      </c>
      <c r="D62" s="40"/>
      <c r="E62" s="41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2">
      <c r="A63" s="40"/>
      <c r="B63" s="40"/>
      <c r="C63" s="40" t="s">
        <v>18</v>
      </c>
      <c r="D63" s="40"/>
      <c r="E63" s="41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2">
      <c r="A64" s="40"/>
      <c r="B64" s="40"/>
      <c r="C64" s="39" t="s">
        <v>57</v>
      </c>
      <c r="D64" s="40"/>
      <c r="E64" s="41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2">
      <c r="A65" s="37" t="s">
        <v>56</v>
      </c>
      <c r="B65" s="36" t="s">
        <v>42</v>
      </c>
      <c r="C65" s="36" t="s">
        <v>19</v>
      </c>
      <c r="D65" s="36"/>
      <c r="E65" s="38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2">
      <c r="A66" s="36"/>
      <c r="B66" s="36"/>
      <c r="C66" s="36" t="s">
        <v>16</v>
      </c>
      <c r="D66" s="36"/>
      <c r="E66" s="38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x14ac:dyDescent="0.2">
      <c r="A67" s="36"/>
      <c r="B67" s="36"/>
      <c r="C67" s="36" t="s">
        <v>17</v>
      </c>
      <c r="D67" s="36"/>
      <c r="E67" s="38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2">
      <c r="A68" s="36"/>
      <c r="B68" s="36"/>
      <c r="C68" s="36" t="s">
        <v>18</v>
      </c>
      <c r="D68" s="36"/>
      <c r="E68" s="3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2">
      <c r="A69" s="36"/>
      <c r="B69" s="36"/>
      <c r="C69" s="37" t="s">
        <v>57</v>
      </c>
      <c r="D69" s="36"/>
      <c r="E69" s="38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2">
      <c r="A70" s="7" t="s">
        <v>59</v>
      </c>
      <c r="B70" s="8"/>
      <c r="C70" s="8"/>
      <c r="D70" s="8"/>
      <c r="E70" s="21">
        <f>SUM(E5:E69)</f>
        <v>0</v>
      </c>
    </row>
    <row r="71" spans="1:18" x14ac:dyDescent="0.2">
      <c r="A71" s="8" t="s">
        <v>20</v>
      </c>
      <c r="B71" s="8"/>
      <c r="C71" s="8"/>
      <c r="D71" s="8">
        <f>+D70*30</f>
        <v>0</v>
      </c>
      <c r="E7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operacion</vt:lpstr>
      <vt:lpstr>Planilla 1 mes</vt:lpstr>
      <vt:lpstr>LITROS VENDIDOS periodo</vt:lpstr>
      <vt:lpstr>Litros por ruta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Movimiento Mensual por Cuenta</dc:title>
  <dc:creator>Olga Bolaños</dc:creator>
  <dc:description>Powered by Crystal</dc:description>
  <cp:lastModifiedBy>Paula Álvarez</cp:lastModifiedBy>
  <dcterms:created xsi:type="dcterms:W3CDTF">2024-09-20T17:59:23Z</dcterms:created>
  <dcterms:modified xsi:type="dcterms:W3CDTF">2026-09-16T21:14:49Z</dcterms:modified>
</cp:coreProperties>
</file>